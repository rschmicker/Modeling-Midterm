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ustomProperty1.bin" ContentType="application/vnd.openxmlformats-officedocument.spreadsheetml.customProperty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ropbox\Courses\MATH 3361\"/>
    </mc:Choice>
  </mc:AlternateContent>
  <bookViews>
    <workbookView xWindow="15345" yWindow="-15" windowWidth="7710" windowHeight="9705" firstSheet="1" activeTab="2"/>
  </bookViews>
  <sheets>
    <sheet name="mCSpline" sheetId="1" state="veryHidden" r:id=""/>
    <sheet name="Q1" sheetId="17" r:id="rId1"/>
    <sheet name="Q2" sheetId="18" r:id="rId2"/>
    <sheet name="CSpline" sheetId="4" r:id="rId3"/>
    <sheet name="SolveSpline" sheetId="11" r:id="rId4"/>
    <sheet name="CHSpline" sheetId="12" r:id="rId5"/>
    <sheet name="CardSpline" sheetId="10" r:id="rId6"/>
    <sheet name="Procedure" sheetId="8" r:id="rId7"/>
    <sheet name="Area" sheetId="9" r:id="rId8"/>
    <sheet name="On-Sheet" sheetId="13" r:id="rId9"/>
    <sheet name="About" sheetId="5" r:id="rId10"/>
  </sheets>
  <functionGroups builtInGroupCount="19"/>
  <definedNames>
    <definedName name="out">CSpline!#REF!</definedName>
    <definedName name="solver_adj" localSheetId="8" hidden="1">Area!$G$29</definedName>
    <definedName name="solver_adj" localSheetId="3" hidden="1">CSpline!$B$63</definedName>
    <definedName name="solver_cvg" localSheetId="8" hidden="1">0.0001</definedName>
    <definedName name="solver_cvg" localSheetId="3" hidden="1">0.00000001</definedName>
    <definedName name="solver_drv" localSheetId="8" hidden="1">1</definedName>
    <definedName name="solver_drv" localSheetId="3" hidden="1">1</definedName>
    <definedName name="solver_est" localSheetId="8" hidden="1">1</definedName>
    <definedName name="solver_est" localSheetId="3" hidden="1">1</definedName>
    <definedName name="solver_itr" localSheetId="8" hidden="1">100</definedName>
    <definedName name="solver_itr" localSheetId="3" hidden="1">100</definedName>
    <definedName name="solver_lin" localSheetId="8" hidden="1">2</definedName>
    <definedName name="solver_lin" localSheetId="3" hidden="1">2</definedName>
    <definedName name="solver_neg" localSheetId="8" hidden="1">1</definedName>
    <definedName name="solver_neg" localSheetId="3" hidden="1">2</definedName>
    <definedName name="solver_num" localSheetId="8" hidden="1">0</definedName>
    <definedName name="solver_num" localSheetId="3" hidden="1">0</definedName>
    <definedName name="solver_nwt" localSheetId="8" hidden="1">1</definedName>
    <definedName name="solver_nwt" localSheetId="3" hidden="1">1</definedName>
    <definedName name="solver_opt" localSheetId="8" hidden="1">Area!$E$32</definedName>
    <definedName name="solver_opt" localSheetId="3" hidden="1">CSpline!$G$63</definedName>
    <definedName name="solver_pre" localSheetId="8" hidden="1">0.000001</definedName>
    <definedName name="solver_pre" localSheetId="3" hidden="1">0.000001</definedName>
    <definedName name="solver_scl" localSheetId="8" hidden="1">2</definedName>
    <definedName name="solver_scl" localSheetId="3" hidden="1">2</definedName>
    <definedName name="solver_sho" localSheetId="8" hidden="1">2</definedName>
    <definedName name="solver_sho" localSheetId="3" hidden="1">2</definedName>
    <definedName name="solver_tim" localSheetId="8" hidden="1">100</definedName>
    <definedName name="solver_tim" localSheetId="3" hidden="1">100</definedName>
    <definedName name="solver_tol" localSheetId="8" hidden="1">0.05</definedName>
    <definedName name="solver_tol" localSheetId="3" hidden="1">0.01</definedName>
    <definedName name="solver_typ" localSheetId="8" hidden="1">3</definedName>
    <definedName name="solver_typ" localSheetId="3" hidden="1">3</definedName>
    <definedName name="solver_val" localSheetId="8" hidden="1">0</definedName>
    <definedName name="solver_val" localSheetId="3" hidden="1">-4.05</definedName>
    <definedName name="wave">Area!$B$84:$B$91</definedName>
  </definedNames>
  <calcPr calcId="171027"/>
</workbook>
</file>

<file path=xl/calcChain.xml><?xml version="1.0" encoding="utf-8"?>
<calcChain xmlns="http://schemas.openxmlformats.org/spreadsheetml/2006/main">
  <c r="S37" i="4" l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K25" i="4"/>
  <c r="L25" i="4" s="1"/>
  <c r="M25" i="4" s="1"/>
  <c r="N25" i="4" s="1"/>
  <c r="O25" i="4" s="1"/>
  <c r="P25" i="4" s="1"/>
  <c r="Q25" i="4" s="1"/>
  <c r="I52" i="13"/>
  <c r="I53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J52" i="13"/>
  <c r="J53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C10" i="13"/>
  <c r="I61" i="13"/>
  <c r="I69" i="13"/>
  <c r="J61" i="13"/>
  <c r="J69" i="13"/>
  <c r="I54" i="13"/>
  <c r="I62" i="13"/>
  <c r="J54" i="13"/>
  <c r="J62" i="13"/>
  <c r="I55" i="13"/>
  <c r="I63" i="13"/>
  <c r="J55" i="13"/>
  <c r="J63" i="13"/>
  <c r="I56" i="13"/>
  <c r="I64" i="13"/>
  <c r="J56" i="13"/>
  <c r="J64" i="13"/>
  <c r="I57" i="13"/>
  <c r="I65" i="13"/>
  <c r="J57" i="13"/>
  <c r="J65" i="13"/>
  <c r="I58" i="13"/>
  <c r="I66" i="13"/>
  <c r="J58" i="13"/>
  <c r="J66" i="13"/>
  <c r="I59" i="13"/>
  <c r="I67" i="13"/>
  <c r="J59" i="13"/>
  <c r="J67" i="13"/>
  <c r="I60" i="13"/>
  <c r="I68" i="13"/>
  <c r="J60" i="13"/>
  <c r="J68" i="13"/>
  <c r="H52" i="13" a="1"/>
  <c r="H79" i="13" s="1"/>
  <c r="D62" i="13"/>
  <c r="B19" i="13"/>
  <c r="A23" i="13"/>
  <c r="D53" i="13"/>
  <c r="D73" i="13"/>
  <c r="D69" i="13"/>
  <c r="D57" i="13"/>
  <c r="D78" i="13"/>
  <c r="D54" i="13"/>
  <c r="D65" i="13"/>
  <c r="D77" i="13"/>
  <c r="B40" i="13"/>
  <c r="D61" i="13"/>
  <c r="D70" i="13"/>
  <c r="D81" i="13"/>
  <c r="B43" i="13"/>
  <c r="D58" i="13"/>
  <c r="D66" i="13"/>
  <c r="D74" i="13"/>
  <c r="D82" i="13"/>
  <c r="H63" i="13"/>
  <c r="B47" i="13"/>
  <c r="D55" i="13"/>
  <c r="D59" i="13"/>
  <c r="D63" i="13"/>
  <c r="D67" i="13"/>
  <c r="D71" i="13"/>
  <c r="D75" i="13"/>
  <c r="D79" i="13"/>
  <c r="D83" i="13"/>
  <c r="B37" i="13"/>
  <c r="D52" i="13"/>
  <c r="D56" i="13"/>
  <c r="D60" i="13"/>
  <c r="D64" i="13"/>
  <c r="D68" i="13"/>
  <c r="D72" i="13"/>
  <c r="D76" i="13"/>
  <c r="D80" i="13"/>
  <c r="D84" i="13"/>
  <c r="H83" i="13"/>
  <c r="H67" i="13"/>
  <c r="H74" i="13"/>
  <c r="H70" i="13"/>
  <c r="H58" i="13"/>
  <c r="H54" i="13"/>
  <c r="H73" i="13"/>
  <c r="H69" i="13"/>
  <c r="H57" i="13"/>
  <c r="H53" i="13"/>
  <c r="H76" i="13"/>
  <c r="H72" i="13"/>
  <c r="H60" i="13"/>
  <c r="H56" i="13"/>
  <c r="A181" i="4"/>
  <c r="E31" i="9"/>
  <c r="A33" i="9"/>
  <c r="A35" i="9"/>
  <c r="B63" i="4"/>
  <c r="A64" i="4"/>
  <c r="C63" i="4"/>
  <c r="F105" i="4"/>
  <c r="E108" i="4"/>
  <c r="C108" i="4"/>
  <c r="B161" i="8"/>
  <c r="I161" i="8"/>
  <c r="I167" i="8" s="1"/>
  <c r="B144" i="8"/>
  <c r="I144" i="8" s="1"/>
  <c r="B143" i="8"/>
  <c r="I143" i="8"/>
  <c r="I140" i="8" s="1"/>
  <c r="B135" i="8"/>
  <c r="D135" i="8"/>
  <c r="B136" i="8"/>
  <c r="D136" i="8"/>
  <c r="B137" i="8"/>
  <c r="D137" i="8"/>
  <c r="B138" i="8"/>
  <c r="D138" i="8"/>
  <c r="A54" i="8"/>
  <c r="A53" i="8"/>
  <c r="A52" i="8"/>
  <c r="A51" i="8"/>
  <c r="J146" i="8"/>
  <c r="A145" i="8"/>
  <c r="A146" i="8"/>
  <c r="B146" i="8" s="1"/>
  <c r="I146" i="8" s="1"/>
  <c r="B96" i="8"/>
  <c r="B95" i="8"/>
  <c r="B94" i="8"/>
  <c r="B93" i="8"/>
  <c r="O142" i="8" s="1"/>
  <c r="B82" i="8"/>
  <c r="B81" i="8"/>
  <c r="B80" i="8"/>
  <c r="B79" i="8"/>
  <c r="N142" i="8"/>
  <c r="B68" i="8"/>
  <c r="B67" i="8"/>
  <c r="B66" i="8"/>
  <c r="B65" i="8"/>
  <c r="M142" i="8"/>
  <c r="B54" i="8"/>
  <c r="B53" i="8"/>
  <c r="B52" i="8"/>
  <c r="B51" i="8"/>
  <c r="L142" i="8" s="1"/>
  <c r="D40" i="8"/>
  <c r="G96" i="8"/>
  <c r="D39" i="8"/>
  <c r="D38" i="8"/>
  <c r="G66" i="8"/>
  <c r="D37" i="8"/>
  <c r="B117" i="4"/>
  <c r="B115" i="4"/>
  <c r="B113" i="4"/>
  <c r="A113" i="4"/>
  <c r="A114" i="4" s="1"/>
  <c r="A115" i="4" s="1"/>
  <c r="A116" i="4" s="1"/>
  <c r="A117" i="4" s="1"/>
  <c r="A118" i="4" s="1"/>
  <c r="C113" i="4"/>
  <c r="C114" i="4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A163" i="8"/>
  <c r="B163" i="8"/>
  <c r="I163" i="8"/>
  <c r="E136" i="8"/>
  <c r="I142" i="8"/>
  <c r="I162" i="8"/>
  <c r="G135" i="8"/>
  <c r="B145" i="8"/>
  <c r="I145" i="8"/>
  <c r="C73" i="8"/>
  <c r="G138" i="8"/>
  <c r="B88" i="8"/>
  <c r="A87" i="8"/>
  <c r="G94" i="8"/>
  <c r="A164" i="8"/>
  <c r="B164" i="8"/>
  <c r="I164" i="8" s="1"/>
  <c r="G82" i="8"/>
  <c r="A72" i="8"/>
  <c r="G137" i="8"/>
  <c r="G53" i="8"/>
  <c r="E138" i="8"/>
  <c r="A73" i="8"/>
  <c r="E47" i="8"/>
  <c r="G68" i="8"/>
  <c r="E61" i="8"/>
  <c r="D75" i="8"/>
  <c r="E89" i="8"/>
  <c r="E40" i="8"/>
  <c r="E90" i="8"/>
  <c r="D90" i="8"/>
  <c r="E75" i="8"/>
  <c r="E76" i="8"/>
  <c r="D76" i="8"/>
  <c r="G54" i="8"/>
  <c r="A165" i="8"/>
  <c r="B165" i="8"/>
  <c r="I165" i="8" s="1"/>
  <c r="G136" i="8"/>
  <c r="E38" i="8"/>
  <c r="G52" i="8"/>
  <c r="C45" i="8"/>
  <c r="G80" i="8"/>
  <c r="B45" i="8"/>
  <c r="B87" i="8"/>
  <c r="B46" i="8"/>
  <c r="B74" i="8"/>
  <c r="C87" i="8"/>
  <c r="B60" i="8"/>
  <c r="C59" i="8"/>
  <c r="I76" i="8"/>
  <c r="I90" i="8"/>
  <c r="C138" i="8"/>
  <c r="I138" i="8"/>
  <c r="R25" i="4"/>
  <c r="C136" i="8"/>
  <c r="I136" i="8" s="1"/>
  <c r="S25" i="4"/>
  <c r="T25" i="4"/>
  <c r="U25" i="4"/>
  <c r="V25" i="4"/>
  <c r="W25" i="4" s="1"/>
  <c r="X25" i="4"/>
  <c r="Y25" i="4" s="1"/>
  <c r="Z25" i="4" s="1"/>
  <c r="AA25" i="4"/>
  <c r="AB25" i="4" s="1"/>
  <c r="AC25" i="4" s="1"/>
  <c r="AD25" i="4" s="1"/>
  <c r="AE25" i="4"/>
  <c r="B55" i="11" a="1"/>
  <c r="D37" i="11" a="1"/>
  <c r="F36" i="4" a="1"/>
  <c r="C52" i="13" a="1"/>
  <c r="G36" i="4" a="1"/>
  <c r="G24" i="12" a="1"/>
  <c r="D30" i="12" a="1"/>
  <c r="U36" i="4" a="1"/>
  <c r="B66" i="10" a="1"/>
  <c r="W36" i="4" a="1"/>
  <c r="J26" i="4" a="1"/>
  <c r="D36" i="4" a="1"/>
  <c r="D42" i="11" a="1"/>
  <c r="D30" i="10" a="1"/>
  <c r="D34" i="11" a="1"/>
  <c r="D112" i="4" a="1"/>
  <c r="G52" i="13" a="1"/>
  <c r="E30" i="9" a="1"/>
  <c r="F52" i="13" a="1"/>
  <c r="F30" i="12" a="1"/>
  <c r="F73" i="11" a="1"/>
  <c r="S64" i="4" a="1"/>
  <c r="B142" i="4" a="1"/>
  <c r="E30" i="12" a="1"/>
  <c r="I23" i="10" a="1"/>
  <c r="C61" i="11" a="1"/>
  <c r="T36" i="4" a="1"/>
  <c r="E36" i="4" a="1"/>
  <c r="B56" i="11" a="1"/>
  <c r="B89" i="4" a="1"/>
  <c r="D63" i="4" a="1"/>
  <c r="V36" i="4" a="1"/>
  <c r="D45" i="11" a="1"/>
  <c r="B23" i="13" l="1"/>
  <c r="D23" i="13" a="1"/>
  <c r="E24" i="13" s="1"/>
  <c r="C23" i="13"/>
  <c r="A24" i="13"/>
  <c r="N147" i="8"/>
  <c r="L147" i="8"/>
  <c r="J151" i="8"/>
  <c r="M147" i="8"/>
  <c r="B35" i="9"/>
  <c r="A36" i="9"/>
  <c r="C35" i="9"/>
  <c r="O147" i="8"/>
  <c r="C89" i="8"/>
  <c r="C75" i="8"/>
  <c r="G67" i="8"/>
  <c r="D88" i="8"/>
  <c r="C88" i="8"/>
  <c r="C60" i="8"/>
  <c r="D61" i="8"/>
  <c r="C61" i="8"/>
  <c r="C74" i="8"/>
  <c r="C47" i="8"/>
  <c r="C46" i="8"/>
  <c r="D60" i="8"/>
  <c r="D46" i="8"/>
  <c r="E39" i="8"/>
  <c r="G81" i="8"/>
  <c r="D47" i="8"/>
  <c r="D89" i="8"/>
  <c r="G95" i="8"/>
  <c r="E137" i="8"/>
  <c r="D74" i="8"/>
  <c r="A86" i="8"/>
  <c r="K86" i="8" s="1" a="1"/>
  <c r="A59" i="8"/>
  <c r="E135" i="8"/>
  <c r="B59" i="8"/>
  <c r="G65" i="8"/>
  <c r="B86" i="8"/>
  <c r="G51" i="8"/>
  <c r="B72" i="8"/>
  <c r="A45" i="8"/>
  <c r="K44" i="8" s="1" a="1"/>
  <c r="E37" i="8"/>
  <c r="G93" i="8"/>
  <c r="G79" i="8"/>
  <c r="B73" i="8"/>
  <c r="A147" i="8"/>
  <c r="A65" i="4"/>
  <c r="B64" i="4"/>
  <c r="H68" i="13"/>
  <c r="H84" i="13"/>
  <c r="H65" i="13"/>
  <c r="H81" i="13"/>
  <c r="H66" i="13"/>
  <c r="H82" i="13"/>
  <c r="H71" i="13"/>
  <c r="H75" i="13"/>
  <c r="H52" i="13"/>
  <c r="H64" i="13"/>
  <c r="H80" i="13"/>
  <c r="H61" i="13"/>
  <c r="H77" i="13"/>
  <c r="H62" i="13"/>
  <c r="H78" i="13"/>
  <c r="H55" i="13"/>
  <c r="H59" i="13"/>
  <c r="D24" i="13"/>
  <c r="E31" i="12"/>
  <c r="E36" i="12"/>
  <c r="E40" i="12"/>
  <c r="E34" i="12"/>
  <c r="E35" i="12"/>
  <c r="E48" i="12"/>
  <c r="E37" i="12"/>
  <c r="E32" i="12"/>
  <c r="E47" i="12"/>
  <c r="E41" i="12"/>
  <c r="E45" i="12"/>
  <c r="E50" i="12"/>
  <c r="E46" i="12"/>
  <c r="E44" i="12"/>
  <c r="E33" i="12"/>
  <c r="E30" i="12"/>
  <c r="E43" i="12"/>
  <c r="E39" i="12"/>
  <c r="E49" i="12"/>
  <c r="E42" i="12"/>
  <c r="E38" i="12"/>
  <c r="H79" i="4"/>
  <c r="E75" i="4"/>
  <c r="F69" i="4"/>
  <c r="G80" i="4"/>
  <c r="E81" i="4"/>
  <c r="H63" i="4"/>
  <c r="D80" i="4"/>
  <c r="D81" i="4"/>
  <c r="D64" i="4"/>
  <c r="I79" i="4"/>
  <c r="I70" i="4"/>
  <c r="D83" i="4"/>
  <c r="H74" i="4"/>
  <c r="F67" i="4"/>
  <c r="F68" i="4"/>
  <c r="H72" i="4"/>
  <c r="G65" i="4"/>
  <c r="D78" i="4"/>
  <c r="F76" i="4"/>
  <c r="F83" i="4"/>
  <c r="E76" i="4"/>
  <c r="D69" i="4"/>
  <c r="H83" i="4"/>
  <c r="G66" i="4"/>
  <c r="G82" i="4"/>
  <c r="I68" i="4"/>
  <c r="G73" i="4"/>
  <c r="E74" i="4"/>
  <c r="H81" i="4"/>
  <c r="F78" i="4"/>
  <c r="F74" i="4"/>
  <c r="H67" i="4"/>
  <c r="I63" i="4"/>
  <c r="G83" i="4"/>
  <c r="E67" i="4"/>
  <c r="D77" i="4"/>
  <c r="E68" i="4"/>
  <c r="I67" i="4"/>
  <c r="I77" i="4"/>
  <c r="G78" i="4"/>
  <c r="G72" i="4"/>
  <c r="G81" i="4"/>
  <c r="H71" i="4"/>
  <c r="D79" i="4"/>
  <c r="E83" i="4"/>
  <c r="D68" i="4"/>
  <c r="H69" i="4"/>
  <c r="F73" i="4"/>
  <c r="E69" i="4"/>
  <c r="H78" i="4"/>
  <c r="D70" i="4"/>
  <c r="E64" i="4"/>
  <c r="H64" i="4"/>
  <c r="G69" i="4"/>
  <c r="H80" i="4"/>
  <c r="I74" i="4"/>
  <c r="E82" i="4"/>
  <c r="E79" i="4"/>
  <c r="F72" i="4"/>
  <c r="E63" i="4"/>
  <c r="G74" i="4"/>
  <c r="F77" i="4"/>
  <c r="I82" i="4"/>
  <c r="E77" i="4"/>
  <c r="G71" i="4"/>
  <c r="E66" i="4"/>
  <c r="F70" i="4"/>
  <c r="I76" i="4"/>
  <c r="E73" i="4"/>
  <c r="F82" i="4"/>
  <c r="D71" i="4"/>
  <c r="I83" i="4"/>
  <c r="H70" i="4"/>
  <c r="F65" i="4"/>
  <c r="F81" i="4"/>
  <c r="I66" i="4"/>
  <c r="H73" i="4"/>
  <c r="I75" i="4"/>
  <c r="G63" i="4"/>
  <c r="G77" i="4"/>
  <c r="G68" i="4"/>
  <c r="I73" i="4"/>
  <c r="H75" i="4"/>
  <c r="D66" i="4"/>
  <c r="D82" i="4"/>
  <c r="G67" i="4"/>
  <c r="I72" i="4"/>
  <c r="I78" i="4"/>
  <c r="D72" i="4"/>
  <c r="E80" i="4"/>
  <c r="H77" i="4"/>
  <c r="G64" i="4"/>
  <c r="I69" i="4"/>
  <c r="F75" i="4"/>
  <c r="F64" i="4"/>
  <c r="F71" i="4"/>
  <c r="F80" i="4"/>
  <c r="D75" i="4"/>
  <c r="H82" i="4"/>
  <c r="I65" i="4"/>
  <c r="G76" i="4"/>
  <c r="D63" i="4"/>
  <c r="D76" i="4"/>
  <c r="H68" i="4"/>
  <c r="F79" i="4"/>
  <c r="D73" i="4"/>
  <c r="H65" i="4"/>
  <c r="E70" i="4"/>
  <c r="F66" i="4"/>
  <c r="D67" i="4"/>
  <c r="E72" i="4"/>
  <c r="I80" i="4"/>
  <c r="D65" i="4"/>
  <c r="H66" i="4"/>
  <c r="I64" i="4"/>
  <c r="H76" i="4"/>
  <c r="G79" i="4"/>
  <c r="E71" i="4"/>
  <c r="E65" i="4"/>
  <c r="D74" i="4"/>
  <c r="I71" i="4"/>
  <c r="G70" i="4"/>
  <c r="I81" i="4"/>
  <c r="F63" i="4"/>
  <c r="E78" i="4"/>
  <c r="G75" i="4"/>
  <c r="T23" i="10"/>
  <c r="L23" i="10"/>
  <c r="R23" i="10"/>
  <c r="S23" i="10"/>
  <c r="N23" i="10"/>
  <c r="M23" i="10"/>
  <c r="AA23" i="10"/>
  <c r="W23" i="10"/>
  <c r="X23" i="10"/>
  <c r="O23" i="10"/>
  <c r="P23" i="10"/>
  <c r="K23" i="10"/>
  <c r="I23" i="10"/>
  <c r="AC23" i="10"/>
  <c r="V23" i="10"/>
  <c r="Z23" i="10"/>
  <c r="J23" i="10"/>
  <c r="Q23" i="10"/>
  <c r="Y23" i="10"/>
  <c r="U23" i="10"/>
  <c r="AB23" i="10"/>
  <c r="U42" i="4"/>
  <c r="U45" i="4"/>
  <c r="U48" i="4"/>
  <c r="U36" i="4"/>
  <c r="U46" i="4"/>
  <c r="U39" i="4"/>
  <c r="U37" i="4"/>
  <c r="U40" i="4"/>
  <c r="U51" i="4"/>
  <c r="U54" i="4"/>
  <c r="U41" i="4"/>
  <c r="U57" i="4"/>
  <c r="U43" i="4"/>
  <c r="U49" i="4"/>
  <c r="U55" i="4"/>
  <c r="U44" i="4"/>
  <c r="U47" i="4"/>
  <c r="U53" i="4"/>
  <c r="U52" i="4"/>
  <c r="U38" i="4"/>
  <c r="U50" i="4"/>
  <c r="U56" i="4"/>
  <c r="B144" i="4"/>
  <c r="D146" i="4"/>
  <c r="F143" i="4"/>
  <c r="E142" i="4"/>
  <c r="F144" i="4"/>
  <c r="E147" i="4"/>
  <c r="D145" i="4"/>
  <c r="F145" i="4"/>
  <c r="B143" i="4"/>
  <c r="D142" i="4"/>
  <c r="C145" i="4"/>
  <c r="E143" i="4"/>
  <c r="F147" i="4"/>
  <c r="B145" i="4"/>
  <c r="C143" i="4"/>
  <c r="C142" i="4"/>
  <c r="D143" i="4"/>
  <c r="C144" i="4"/>
  <c r="F142" i="4"/>
  <c r="C147" i="4"/>
  <c r="E144" i="4"/>
  <c r="F146" i="4"/>
  <c r="B147" i="4"/>
  <c r="B142" i="4"/>
  <c r="E145" i="4"/>
  <c r="C146" i="4"/>
  <c r="D144" i="4"/>
  <c r="E146" i="4"/>
  <c r="D147" i="4"/>
  <c r="B146" i="4"/>
  <c r="B56" i="11"/>
  <c r="C56" i="11"/>
  <c r="D112" i="4"/>
  <c r="F116" i="4"/>
  <c r="G116" i="4" s="1"/>
  <c r="F136" i="4"/>
  <c r="G136" i="4" s="1"/>
  <c r="E133" i="4"/>
  <c r="E112" i="4"/>
  <c r="E121" i="4"/>
  <c r="E135" i="4"/>
  <c r="E129" i="4"/>
  <c r="F131" i="4"/>
  <c r="G131" i="4" s="1"/>
  <c r="D116" i="4"/>
  <c r="D135" i="4"/>
  <c r="F122" i="4"/>
  <c r="G122" i="4" s="1"/>
  <c r="E130" i="4"/>
  <c r="D119" i="4"/>
  <c r="F127" i="4"/>
  <c r="G127" i="4" s="1"/>
  <c r="F113" i="4"/>
  <c r="G113" i="4" s="1"/>
  <c r="D131" i="4"/>
  <c r="E125" i="4"/>
  <c r="F120" i="4"/>
  <c r="G120" i="4" s="1"/>
  <c r="D126" i="4"/>
  <c r="E132" i="4"/>
  <c r="E119" i="4"/>
  <c r="E134" i="4"/>
  <c r="D122" i="4"/>
  <c r="E122" i="4"/>
  <c r="F129" i="4"/>
  <c r="G129" i="4" s="1"/>
  <c r="E136" i="4"/>
  <c r="D117" i="4"/>
  <c r="D123" i="4"/>
  <c r="E128" i="4"/>
  <c r="D115" i="4"/>
  <c r="F134" i="4"/>
  <c r="G134" i="4" s="1"/>
  <c r="F132" i="4"/>
  <c r="G132" i="4" s="1"/>
  <c r="D134" i="4"/>
  <c r="D113" i="4"/>
  <c r="E115" i="4"/>
  <c r="E114" i="4"/>
  <c r="F135" i="4"/>
  <c r="G135" i="4" s="1"/>
  <c r="D121" i="4"/>
  <c r="D124" i="4"/>
  <c r="E117" i="4"/>
  <c r="F124" i="4"/>
  <c r="G124" i="4" s="1"/>
  <c r="D128" i="4"/>
  <c r="F119" i="4"/>
  <c r="G119" i="4" s="1"/>
  <c r="D136" i="4"/>
  <c r="F123" i="4"/>
  <c r="G123" i="4" s="1"/>
  <c r="D130" i="4"/>
  <c r="F128" i="4"/>
  <c r="G128" i="4" s="1"/>
  <c r="E116" i="4"/>
  <c r="F115" i="4"/>
  <c r="G115" i="4" s="1"/>
  <c r="D133" i="4"/>
  <c r="E124" i="4"/>
  <c r="F114" i="4"/>
  <c r="G114" i="4" s="1"/>
  <c r="D125" i="4"/>
  <c r="D120" i="4"/>
  <c r="F112" i="4"/>
  <c r="G112" i="4" s="1"/>
  <c r="F121" i="4"/>
  <c r="G121" i="4" s="1"/>
  <c r="D114" i="4"/>
  <c r="F130" i="4"/>
  <c r="G130" i="4" s="1"/>
  <c r="E123" i="4"/>
  <c r="E127" i="4"/>
  <c r="E131" i="4"/>
  <c r="F125" i="4"/>
  <c r="G125" i="4" s="1"/>
  <c r="E113" i="4"/>
  <c r="D129" i="4"/>
  <c r="F118" i="4"/>
  <c r="G118" i="4" s="1"/>
  <c r="D132" i="4"/>
  <c r="D118" i="4"/>
  <c r="F126" i="4"/>
  <c r="G126" i="4" s="1"/>
  <c r="E118" i="4"/>
  <c r="F117" i="4"/>
  <c r="G117" i="4" s="1"/>
  <c r="E126" i="4"/>
  <c r="D127" i="4"/>
  <c r="F133" i="4"/>
  <c r="G133" i="4" s="1"/>
  <c r="E120" i="4"/>
  <c r="D47" i="12"/>
  <c r="D32" i="12"/>
  <c r="D34" i="12"/>
  <c r="D37" i="12"/>
  <c r="D30" i="12"/>
  <c r="D35" i="12"/>
  <c r="D44" i="12"/>
  <c r="D50" i="12"/>
  <c r="D39" i="12"/>
  <c r="D46" i="12"/>
  <c r="D41" i="12"/>
  <c r="D49" i="12"/>
  <c r="D38" i="12"/>
  <c r="D40" i="12"/>
  <c r="D31" i="12"/>
  <c r="D48" i="12"/>
  <c r="D45" i="12"/>
  <c r="D42" i="12"/>
  <c r="D36" i="12"/>
  <c r="D43" i="12"/>
  <c r="D33" i="12"/>
  <c r="S68" i="4"/>
  <c r="S72" i="4"/>
  <c r="S82" i="4"/>
  <c r="S69" i="4"/>
  <c r="S76" i="4"/>
  <c r="S65" i="4"/>
  <c r="S71" i="4"/>
  <c r="S73" i="4"/>
  <c r="S78" i="4"/>
  <c r="S70" i="4"/>
  <c r="S83" i="4"/>
  <c r="S80" i="4"/>
  <c r="S81" i="4"/>
  <c r="S77" i="4"/>
  <c r="S79" i="4"/>
  <c r="S74" i="4"/>
  <c r="S67" i="4"/>
  <c r="S75" i="4"/>
  <c r="S66" i="4"/>
  <c r="S64" i="4"/>
  <c r="C64" i="11"/>
  <c r="D62" i="11"/>
  <c r="D66" i="11"/>
  <c r="C61" i="11"/>
  <c r="C65" i="11"/>
  <c r="D65" i="11"/>
  <c r="C66" i="11"/>
  <c r="D63" i="11"/>
  <c r="D64" i="11"/>
  <c r="C63" i="11"/>
  <c r="C62" i="11"/>
  <c r="D61" i="11"/>
  <c r="D34" i="11"/>
  <c r="E34" i="11"/>
  <c r="O24" i="12"/>
  <c r="R24" i="12"/>
  <c r="Q24" i="12"/>
  <c r="T24" i="12"/>
  <c r="S24" i="12"/>
  <c r="X24" i="12"/>
  <c r="P24" i="12"/>
  <c r="G24" i="12"/>
  <c r="U24" i="12"/>
  <c r="N24" i="12"/>
  <c r="M24" i="12"/>
  <c r="AA24" i="12"/>
  <c r="K24" i="12"/>
  <c r="H24" i="12"/>
  <c r="L24" i="12"/>
  <c r="V24" i="12"/>
  <c r="I24" i="12"/>
  <c r="Z24" i="12"/>
  <c r="Y24" i="12"/>
  <c r="J24" i="12"/>
  <c r="W24" i="12"/>
  <c r="F76" i="11"/>
  <c r="F82" i="11"/>
  <c r="F77" i="11"/>
  <c r="G75" i="11"/>
  <c r="F81" i="11"/>
  <c r="G83" i="11"/>
  <c r="G77" i="11"/>
  <c r="F73" i="11"/>
  <c r="G79" i="11"/>
  <c r="G73" i="11"/>
  <c r="G80" i="11"/>
  <c r="F84" i="11"/>
  <c r="F83" i="11"/>
  <c r="F78" i="11"/>
  <c r="G74" i="11"/>
  <c r="F79" i="11"/>
  <c r="F74" i="11"/>
  <c r="G84" i="11"/>
  <c r="F80" i="11"/>
  <c r="G78" i="11"/>
  <c r="F85" i="11"/>
  <c r="G82" i="11"/>
  <c r="F75" i="11"/>
  <c r="G81" i="11"/>
  <c r="G76" i="11"/>
  <c r="G85" i="11"/>
  <c r="T55" i="4"/>
  <c r="T43" i="4"/>
  <c r="T38" i="4"/>
  <c r="T41" i="4"/>
  <c r="T52" i="4"/>
  <c r="T57" i="4"/>
  <c r="T50" i="4"/>
  <c r="T53" i="4"/>
  <c r="T56" i="4"/>
  <c r="T44" i="4"/>
  <c r="T47" i="4"/>
  <c r="T48" i="4"/>
  <c r="T54" i="4"/>
  <c r="T36" i="4"/>
  <c r="T37" i="4"/>
  <c r="T51" i="4"/>
  <c r="T49" i="4"/>
  <c r="T45" i="4"/>
  <c r="T42" i="4"/>
  <c r="T40" i="4"/>
  <c r="T46" i="4"/>
  <c r="T39" i="4"/>
  <c r="D46" i="10"/>
  <c r="F46" i="10" s="1"/>
  <c r="E39" i="10"/>
  <c r="I39" i="10" s="1"/>
  <c r="E46" i="10"/>
  <c r="I46" i="10" s="1"/>
  <c r="D34" i="10"/>
  <c r="F34" i="10" s="1"/>
  <c r="E49" i="10"/>
  <c r="I49" i="10" s="1"/>
  <c r="D38" i="10"/>
  <c r="F38" i="10" s="1"/>
  <c r="E34" i="10"/>
  <c r="I34" i="10" s="1"/>
  <c r="D44" i="10"/>
  <c r="F44" i="10" s="1"/>
  <c r="E38" i="10"/>
  <c r="I38" i="10" s="1"/>
  <c r="E41" i="10"/>
  <c r="I41" i="10" s="1"/>
  <c r="E44" i="10"/>
  <c r="I44" i="10" s="1"/>
  <c r="E45" i="10"/>
  <c r="I45" i="10" s="1"/>
  <c r="D47" i="10"/>
  <c r="F47" i="10" s="1"/>
  <c r="D39" i="10"/>
  <c r="F39" i="10" s="1"/>
  <c r="E30" i="10"/>
  <c r="I30" i="10" s="1"/>
  <c r="D49" i="10"/>
  <c r="F49" i="10" s="1"/>
  <c r="D30" i="10"/>
  <c r="F30" i="10" s="1"/>
  <c r="E50" i="10"/>
  <c r="I50" i="10" s="1"/>
  <c r="D41" i="10"/>
  <c r="F41" i="10" s="1"/>
  <c r="D42" i="10"/>
  <c r="F42" i="10" s="1"/>
  <c r="E35" i="10"/>
  <c r="I35" i="10" s="1"/>
  <c r="E48" i="10"/>
  <c r="I48" i="10" s="1"/>
  <c r="D37" i="10"/>
  <c r="F37" i="10" s="1"/>
  <c r="E33" i="10"/>
  <c r="I33" i="10" s="1"/>
  <c r="E40" i="10"/>
  <c r="I40" i="10" s="1"/>
  <c r="E43" i="10"/>
  <c r="I43" i="10" s="1"/>
  <c r="D32" i="10"/>
  <c r="F32" i="10" s="1"/>
  <c r="E31" i="10"/>
  <c r="I31" i="10" s="1"/>
  <c r="D40" i="10"/>
  <c r="F40" i="10" s="1"/>
  <c r="D50" i="10"/>
  <c r="F50" i="10" s="1"/>
  <c r="E42" i="10"/>
  <c r="I42" i="10" s="1"/>
  <c r="D43" i="10"/>
  <c r="F43" i="10" s="1"/>
  <c r="D35" i="10"/>
  <c r="F35" i="10" s="1"/>
  <c r="D48" i="10"/>
  <c r="F48" i="10" s="1"/>
  <c r="E37" i="10"/>
  <c r="I37" i="10" s="1"/>
  <c r="E47" i="10"/>
  <c r="I47" i="10" s="1"/>
  <c r="D45" i="10"/>
  <c r="F45" i="10" s="1"/>
  <c r="E36" i="10"/>
  <c r="I36" i="10" s="1"/>
  <c r="E32" i="10"/>
  <c r="I32" i="10" s="1"/>
  <c r="D36" i="10"/>
  <c r="F36" i="10" s="1"/>
  <c r="D33" i="10"/>
  <c r="F33" i="10" s="1"/>
  <c r="D31" i="10"/>
  <c r="G51" i="4"/>
  <c r="G37" i="4"/>
  <c r="G50" i="4"/>
  <c r="G36" i="4"/>
  <c r="G47" i="4"/>
  <c r="G38" i="4"/>
  <c r="G45" i="4"/>
  <c r="G53" i="4"/>
  <c r="G41" i="4"/>
  <c r="G55" i="4"/>
  <c r="G52" i="4"/>
  <c r="G48" i="4"/>
  <c r="G54" i="4"/>
  <c r="G42" i="4"/>
  <c r="G39" i="4"/>
  <c r="G49" i="4"/>
  <c r="G43" i="4"/>
  <c r="G44" i="4"/>
  <c r="G40" i="4"/>
  <c r="G56" i="4"/>
  <c r="G57" i="4"/>
  <c r="G46" i="4"/>
  <c r="F33" i="12"/>
  <c r="F30" i="12"/>
  <c r="F48" i="12"/>
  <c r="F41" i="12"/>
  <c r="F31" i="12"/>
  <c r="F40" i="12"/>
  <c r="F35" i="12"/>
  <c r="F39" i="12"/>
  <c r="F43" i="12"/>
  <c r="F45" i="12"/>
  <c r="F46" i="12"/>
  <c r="F34" i="12"/>
  <c r="F38" i="12"/>
  <c r="F37" i="12"/>
  <c r="F47" i="12"/>
  <c r="F32" i="12"/>
  <c r="F42" i="12"/>
  <c r="F50" i="12"/>
  <c r="F36" i="12"/>
  <c r="F49" i="12"/>
  <c r="F44" i="12"/>
  <c r="F93" i="4"/>
  <c r="E97" i="4"/>
  <c r="E92" i="4"/>
  <c r="F97" i="4"/>
  <c r="F89" i="4"/>
  <c r="E90" i="4"/>
  <c r="C98" i="4"/>
  <c r="E94" i="4"/>
  <c r="E96" i="4"/>
  <c r="F94" i="4"/>
  <c r="C95" i="4"/>
  <c r="B99" i="4"/>
  <c r="D98" i="4"/>
  <c r="D90" i="4"/>
  <c r="B96" i="4"/>
  <c r="C89" i="4"/>
  <c r="E91" i="4"/>
  <c r="D92" i="4"/>
  <c r="F90" i="4"/>
  <c r="E95" i="4"/>
  <c r="C91" i="4"/>
  <c r="B90" i="4"/>
  <c r="F96" i="4"/>
  <c r="B95" i="4"/>
  <c r="B93" i="4"/>
  <c r="D89" i="4"/>
  <c r="D99" i="4"/>
  <c r="C94" i="4"/>
  <c r="B92" i="4"/>
  <c r="D95" i="4"/>
  <c r="F99" i="4"/>
  <c r="F95" i="4"/>
  <c r="E93" i="4"/>
  <c r="F92" i="4"/>
  <c r="C97" i="4"/>
  <c r="B98" i="4"/>
  <c r="E89" i="4"/>
  <c r="D96" i="4"/>
  <c r="C93" i="4"/>
  <c r="D97" i="4"/>
  <c r="B91" i="4"/>
  <c r="D91" i="4"/>
  <c r="F91" i="4"/>
  <c r="D94" i="4"/>
  <c r="B89" i="4"/>
  <c r="C99" i="4"/>
  <c r="C96" i="4"/>
  <c r="E99" i="4"/>
  <c r="D93" i="4"/>
  <c r="B97" i="4"/>
  <c r="C92" i="4"/>
  <c r="E98" i="4"/>
  <c r="C90" i="4"/>
  <c r="F98" i="4"/>
  <c r="B94" i="4"/>
  <c r="D42" i="11"/>
  <c r="E42" i="11"/>
  <c r="C77" i="13"/>
  <c r="C81" i="13"/>
  <c r="C58" i="13"/>
  <c r="C62" i="13"/>
  <c r="C66" i="13"/>
  <c r="C73" i="13"/>
  <c r="C83" i="13"/>
  <c r="C69" i="13"/>
  <c r="C59" i="13"/>
  <c r="C63" i="13"/>
  <c r="C67" i="13"/>
  <c r="C71" i="13"/>
  <c r="C75" i="13"/>
  <c r="C55" i="13"/>
  <c r="C82" i="13"/>
  <c r="C68" i="13"/>
  <c r="C74" i="13"/>
  <c r="C78" i="13"/>
  <c r="C56" i="13"/>
  <c r="C64" i="13"/>
  <c r="C79" i="13"/>
  <c r="C60" i="13"/>
  <c r="C72" i="13"/>
  <c r="C80" i="13"/>
  <c r="C53" i="13"/>
  <c r="C61" i="13"/>
  <c r="C70" i="13"/>
  <c r="C52" i="13"/>
  <c r="C54" i="13"/>
  <c r="C57" i="13"/>
  <c r="C76" i="13"/>
  <c r="C65" i="13"/>
  <c r="C84" i="13"/>
  <c r="F60" i="13"/>
  <c r="F64" i="13"/>
  <c r="F68" i="13"/>
  <c r="F72" i="13"/>
  <c r="F76" i="13"/>
  <c r="F80" i="13"/>
  <c r="F56" i="13"/>
  <c r="F55" i="13"/>
  <c r="F57" i="13"/>
  <c r="F61" i="13"/>
  <c r="F65" i="13"/>
  <c r="F69" i="13"/>
  <c r="F73" i="13"/>
  <c r="F77" i="13"/>
  <c r="F53" i="13"/>
  <c r="F52" i="13"/>
  <c r="F58" i="13"/>
  <c r="F66" i="13"/>
  <c r="F74" i="13"/>
  <c r="F54" i="13"/>
  <c r="F70" i="13"/>
  <c r="F84" i="13"/>
  <c r="F67" i="13"/>
  <c r="F75" i="13"/>
  <c r="F83" i="13"/>
  <c r="F81" i="13"/>
  <c r="F62" i="13"/>
  <c r="F78" i="13"/>
  <c r="F63" i="13"/>
  <c r="F82" i="13"/>
  <c r="F71" i="13"/>
  <c r="F79" i="13"/>
  <c r="F59" i="13"/>
  <c r="E50" i="4"/>
  <c r="E44" i="4"/>
  <c r="E46" i="4"/>
  <c r="E49" i="4"/>
  <c r="E42" i="4"/>
  <c r="E40" i="4"/>
  <c r="E56" i="4"/>
  <c r="E54" i="4"/>
  <c r="E39" i="4"/>
  <c r="E36" i="4"/>
  <c r="E52" i="4"/>
  <c r="E45" i="4"/>
  <c r="E57" i="4"/>
  <c r="E55" i="4"/>
  <c r="E41" i="4"/>
  <c r="E53" i="4"/>
  <c r="E51" i="4"/>
  <c r="E43" i="4"/>
  <c r="E37" i="4"/>
  <c r="E48" i="4"/>
  <c r="E47" i="4"/>
  <c r="E38" i="4"/>
  <c r="D54" i="4"/>
  <c r="D56" i="4"/>
  <c r="D43" i="4"/>
  <c r="D36" i="4"/>
  <c r="D57" i="4"/>
  <c r="D50" i="4"/>
  <c r="D45" i="4"/>
  <c r="D40" i="4"/>
  <c r="D48" i="4"/>
  <c r="D39" i="4"/>
  <c r="D44" i="4"/>
  <c r="D51" i="4"/>
  <c r="D52" i="4"/>
  <c r="D55" i="4"/>
  <c r="D41" i="4"/>
  <c r="D38" i="4"/>
  <c r="D42" i="4"/>
  <c r="D53" i="4"/>
  <c r="D47" i="4"/>
  <c r="D46" i="4"/>
  <c r="D37" i="4"/>
  <c r="D49" i="4"/>
  <c r="F39" i="4"/>
  <c r="F43" i="4"/>
  <c r="F50" i="4"/>
  <c r="F44" i="4"/>
  <c r="F54" i="4"/>
  <c r="F47" i="4"/>
  <c r="F40" i="4"/>
  <c r="F56" i="4"/>
  <c r="F41" i="4"/>
  <c r="F36" i="4"/>
  <c r="F37" i="4"/>
  <c r="F42" i="4"/>
  <c r="F52" i="4"/>
  <c r="F55" i="4"/>
  <c r="F49" i="4"/>
  <c r="F45" i="4"/>
  <c r="F53" i="4"/>
  <c r="F51" i="4"/>
  <c r="F57" i="4"/>
  <c r="F48" i="4"/>
  <c r="F46" i="4"/>
  <c r="F38" i="4"/>
  <c r="E30" i="9"/>
  <c r="E32" i="9" s="1"/>
  <c r="E45" i="11"/>
  <c r="D45" i="11"/>
  <c r="R26" i="4"/>
  <c r="L28" i="4"/>
  <c r="K31" i="4"/>
  <c r="X26" i="4"/>
  <c r="S29" i="4"/>
  <c r="V26" i="4"/>
  <c r="AE27" i="4"/>
  <c r="O31" i="4"/>
  <c r="M26" i="4"/>
  <c r="T27" i="4"/>
  <c r="AA26" i="4"/>
  <c r="O29" i="4"/>
  <c r="J26" i="4"/>
  <c r="Q30" i="4"/>
  <c r="M30" i="4"/>
  <c r="AE26" i="4"/>
  <c r="AD31" i="4"/>
  <c r="R28" i="4"/>
  <c r="Z27" i="4"/>
  <c r="J31" i="4"/>
  <c r="P26" i="4"/>
  <c r="V29" i="4"/>
  <c r="N26" i="4"/>
  <c r="T29" i="4"/>
  <c r="AC30" i="4"/>
  <c r="J28" i="4"/>
  <c r="Y31" i="4"/>
  <c r="Z31" i="4"/>
  <c r="N30" i="4"/>
  <c r="AE31" i="4"/>
  <c r="AB29" i="4"/>
  <c r="W31" i="4"/>
  <c r="X30" i="4"/>
  <c r="N29" i="4"/>
  <c r="L29" i="4"/>
  <c r="S30" i="4"/>
  <c r="AC28" i="4"/>
  <c r="AA31" i="4"/>
  <c r="Q29" i="4"/>
  <c r="O28" i="4"/>
  <c r="AB27" i="4"/>
  <c r="N28" i="4"/>
  <c r="M29" i="4"/>
  <c r="Y26" i="4"/>
  <c r="Y27" i="4"/>
  <c r="AE30" i="4"/>
  <c r="W29" i="4"/>
  <c r="Z26" i="4"/>
  <c r="M28" i="4"/>
  <c r="S31" i="4"/>
  <c r="R29" i="4"/>
  <c r="W30" i="4"/>
  <c r="U28" i="4"/>
  <c r="X28" i="4"/>
  <c r="AA29" i="4"/>
  <c r="Q28" i="4"/>
  <c r="O30" i="4"/>
  <c r="X31" i="4"/>
  <c r="AC29" i="4"/>
  <c r="S28" i="4"/>
  <c r="U27" i="4"/>
  <c r="R31" i="4"/>
  <c r="R27" i="4"/>
  <c r="AB31" i="4"/>
  <c r="T28" i="4"/>
  <c r="Y29" i="4"/>
  <c r="J27" i="4"/>
  <c r="AD29" i="4"/>
  <c r="K26" i="4"/>
  <c r="V27" i="4"/>
  <c r="K30" i="4"/>
  <c r="V28" i="4"/>
  <c r="T30" i="4"/>
  <c r="AD26" i="4"/>
  <c r="L26" i="4"/>
  <c r="Y28" i="4"/>
  <c r="AB26" i="4"/>
  <c r="U31" i="4"/>
  <c r="AD27" i="4"/>
  <c r="O27" i="4"/>
  <c r="Y30" i="4"/>
  <c r="K27" i="4"/>
  <c r="AE28" i="4"/>
  <c r="W26" i="4"/>
  <c r="AD30" i="4"/>
  <c r="M31" i="4"/>
  <c r="AC27" i="4"/>
  <c r="J30" i="4"/>
  <c r="R30" i="4"/>
  <c r="U30" i="4"/>
  <c r="T26" i="4"/>
  <c r="AC31" i="4"/>
  <c r="T31" i="4"/>
  <c r="Z28" i="4"/>
  <c r="P31" i="4"/>
  <c r="AD28" i="4"/>
  <c r="P30" i="4"/>
  <c r="W28" i="4"/>
  <c r="X29" i="4"/>
  <c r="K29" i="4"/>
  <c r="S26" i="4"/>
  <c r="N31" i="4"/>
  <c r="AB28" i="4"/>
  <c r="L27" i="4"/>
  <c r="AA30" i="4"/>
  <c r="P29" i="4"/>
  <c r="U29" i="4"/>
  <c r="K28" i="4"/>
  <c r="N27" i="4"/>
  <c r="AA27" i="4"/>
  <c r="AC26" i="4"/>
  <c r="V31" i="4"/>
  <c r="Q26" i="4"/>
  <c r="L30" i="4"/>
  <c r="X27" i="4"/>
  <c r="W27" i="4"/>
  <c r="AB30" i="4"/>
  <c r="Q27" i="4"/>
  <c r="J29" i="4"/>
  <c r="Q31" i="4"/>
  <c r="L31" i="4"/>
  <c r="P27" i="4"/>
  <c r="U26" i="4"/>
  <c r="M27" i="4"/>
  <c r="S27" i="4"/>
  <c r="AE29" i="4"/>
  <c r="Z30" i="4"/>
  <c r="O26" i="4"/>
  <c r="Z29" i="4"/>
  <c r="AA28" i="4"/>
  <c r="V30" i="4"/>
  <c r="P28" i="4"/>
  <c r="D37" i="11"/>
  <c r="E37" i="11"/>
  <c r="G65" i="13"/>
  <c r="G69" i="13"/>
  <c r="G73" i="13"/>
  <c r="G77" i="13"/>
  <c r="G81" i="13"/>
  <c r="G53" i="13"/>
  <c r="G84" i="13"/>
  <c r="G60" i="13"/>
  <c r="G56" i="13"/>
  <c r="G66" i="13"/>
  <c r="G70" i="13"/>
  <c r="G74" i="13"/>
  <c r="G78" i="13"/>
  <c r="G82" i="13"/>
  <c r="G54" i="13"/>
  <c r="G61" i="13"/>
  <c r="G57" i="13"/>
  <c r="G67" i="13"/>
  <c r="G75" i="13"/>
  <c r="G83" i="13"/>
  <c r="G62" i="13"/>
  <c r="G71" i="13"/>
  <c r="G55" i="13"/>
  <c r="G64" i="13"/>
  <c r="G72" i="13"/>
  <c r="G80" i="13"/>
  <c r="G63" i="13"/>
  <c r="G79" i="13"/>
  <c r="G58" i="13"/>
  <c r="G52" i="13"/>
  <c r="G68" i="13"/>
  <c r="G59" i="13"/>
  <c r="G76" i="13"/>
  <c r="V45" i="4"/>
  <c r="V48" i="4"/>
  <c r="V46" i="4"/>
  <c r="V57" i="4"/>
  <c r="V37" i="4"/>
  <c r="V52" i="4"/>
  <c r="V43" i="4"/>
  <c r="V56" i="4"/>
  <c r="V44" i="4"/>
  <c r="V41" i="4"/>
  <c r="V53" i="4"/>
  <c r="V49" i="4"/>
  <c r="V39" i="4"/>
  <c r="V47" i="4"/>
  <c r="V36" i="4"/>
  <c r="V50" i="4"/>
  <c r="V40" i="4"/>
  <c r="V54" i="4"/>
  <c r="V55" i="4"/>
  <c r="V51" i="4"/>
  <c r="V42" i="4"/>
  <c r="V38" i="4"/>
  <c r="W55" i="4"/>
  <c r="W43" i="4"/>
  <c r="W51" i="4"/>
  <c r="W41" i="4"/>
  <c r="W47" i="4"/>
  <c r="W57" i="4"/>
  <c r="W40" i="4"/>
  <c r="W56" i="4"/>
  <c r="W49" i="4"/>
  <c r="W39" i="4"/>
  <c r="W53" i="4"/>
  <c r="W54" i="4"/>
  <c r="W52" i="4"/>
  <c r="W45" i="4"/>
  <c r="W48" i="4"/>
  <c r="W42" i="4"/>
  <c r="W36" i="4"/>
  <c r="W37" i="4"/>
  <c r="W38" i="4"/>
  <c r="W50" i="4"/>
  <c r="W44" i="4"/>
  <c r="W46" i="4"/>
  <c r="C55" i="11"/>
  <c r="B55" i="11"/>
  <c r="C72" i="10"/>
  <c r="B70" i="10"/>
  <c r="C80" i="10"/>
  <c r="B84" i="10"/>
  <c r="C69" i="10"/>
  <c r="B72" i="10"/>
  <c r="B66" i="10"/>
  <c r="B82" i="10"/>
  <c r="C82" i="10"/>
  <c r="B74" i="10"/>
  <c r="B76" i="10"/>
  <c r="B69" i="10"/>
  <c r="C67" i="10"/>
  <c r="B80" i="10"/>
  <c r="B85" i="10"/>
  <c r="C70" i="10"/>
  <c r="C81" i="10"/>
  <c r="C85" i="10"/>
  <c r="B71" i="10"/>
  <c r="C73" i="10"/>
  <c r="C75" i="10"/>
  <c r="C66" i="10"/>
  <c r="B79" i="10"/>
  <c r="B67" i="10"/>
  <c r="B77" i="10"/>
  <c r="C71" i="10"/>
  <c r="C76" i="10"/>
  <c r="C79" i="10"/>
  <c r="B78" i="10"/>
  <c r="C84" i="10"/>
  <c r="B86" i="10"/>
  <c r="B81" i="10"/>
  <c r="B83" i="10"/>
  <c r="C78" i="10"/>
  <c r="B73" i="10"/>
  <c r="C68" i="10"/>
  <c r="B75" i="10"/>
  <c r="C77" i="10"/>
  <c r="C83" i="10"/>
  <c r="C86" i="10"/>
  <c r="B68" i="10"/>
  <c r="C74" i="10"/>
  <c r="G30" i="10" a="1"/>
  <c r="J30" i="10" a="1"/>
  <c r="D23" i="13" l="1"/>
  <c r="E23" i="13"/>
  <c r="F31" i="10" a="1"/>
  <c r="F31" i="10" s="1"/>
  <c r="B147" i="8"/>
  <c r="I147" i="8" s="1"/>
  <c r="A148" i="8"/>
  <c r="C135" i="8"/>
  <c r="I135" i="8" s="1"/>
  <c r="I59" i="8"/>
  <c r="I45" i="8"/>
  <c r="I72" i="8"/>
  <c r="I87" i="8"/>
  <c r="I86" i="8"/>
  <c r="I73" i="8"/>
  <c r="K58" i="8" a="1"/>
  <c r="L48" i="8"/>
  <c r="N45" i="8"/>
  <c r="N44" i="8"/>
  <c r="M46" i="8"/>
  <c r="O48" i="8"/>
  <c r="K46" i="8"/>
  <c r="K48" i="8"/>
  <c r="K44" i="8"/>
  <c r="M48" i="8"/>
  <c r="O47" i="8"/>
  <c r="N46" i="8"/>
  <c r="N47" i="8"/>
  <c r="L46" i="8"/>
  <c r="O45" i="8"/>
  <c r="O46" i="8"/>
  <c r="M47" i="8"/>
  <c r="K45" i="8"/>
  <c r="K47" i="8"/>
  <c r="L44" i="8"/>
  <c r="M45" i="8"/>
  <c r="M44" i="8"/>
  <c r="L45" i="8"/>
  <c r="L47" i="8"/>
  <c r="O44" i="8"/>
  <c r="N48" i="8"/>
  <c r="O88" i="8"/>
  <c r="K88" i="8"/>
  <c r="L88" i="8"/>
  <c r="O89" i="8"/>
  <c r="L86" i="8"/>
  <c r="M90" i="8"/>
  <c r="N90" i="8"/>
  <c r="K86" i="8"/>
  <c r="O90" i="8"/>
  <c r="K87" i="8"/>
  <c r="M89" i="8"/>
  <c r="L87" i="8"/>
  <c r="N87" i="8"/>
  <c r="O86" i="8"/>
  <c r="L90" i="8"/>
  <c r="M86" i="8"/>
  <c r="N86" i="8"/>
  <c r="N88" i="8"/>
  <c r="O87" i="8"/>
  <c r="K90" i="8"/>
  <c r="M88" i="8"/>
  <c r="L89" i="8"/>
  <c r="K89" i="8"/>
  <c r="N89" i="8"/>
  <c r="M87" i="8"/>
  <c r="A37" i="9"/>
  <c r="C36" i="9"/>
  <c r="B36" i="9"/>
  <c r="M152" i="8"/>
  <c r="L152" i="8"/>
  <c r="J156" i="8"/>
  <c r="O152" i="8"/>
  <c r="N152" i="8"/>
  <c r="B24" i="13"/>
  <c r="C24" i="13"/>
  <c r="B27" i="13" s="1"/>
  <c r="K72" i="8" a="1"/>
  <c r="B65" i="4"/>
  <c r="A66" i="4"/>
  <c r="I60" i="8"/>
  <c r="I89" i="8"/>
  <c r="I47" i="8"/>
  <c r="I88" i="8"/>
  <c r="I74" i="8"/>
  <c r="C137" i="8"/>
  <c r="I137" i="8" s="1"/>
  <c r="I75" i="8"/>
  <c r="I46" i="8"/>
  <c r="I61" i="8"/>
  <c r="G40" i="10"/>
  <c r="H46" i="10"/>
  <c r="H35" i="10"/>
  <c r="H33" i="10"/>
  <c r="G42" i="10"/>
  <c r="H48" i="10"/>
  <c r="G38" i="10"/>
  <c r="G36" i="10"/>
  <c r="H31" i="10"/>
  <c r="H45" i="10"/>
  <c r="G50" i="10"/>
  <c r="H50" i="10"/>
  <c r="H39" i="10"/>
  <c r="G48" i="10"/>
  <c r="G33" i="10"/>
  <c r="H43" i="10"/>
  <c r="H41" i="10"/>
  <c r="H37" i="10"/>
  <c r="G31" i="10"/>
  <c r="G43" i="10"/>
  <c r="G39" i="10"/>
  <c r="H47" i="10"/>
  <c r="G41" i="10"/>
  <c r="H49" i="10"/>
  <c r="H30" i="10"/>
  <c r="H42" i="10"/>
  <c r="H38" i="10"/>
  <c r="H40" i="10"/>
  <c r="H36" i="10"/>
  <c r="G44" i="10"/>
  <c r="G47" i="10"/>
  <c r="G49" i="10"/>
  <c r="G46" i="10"/>
  <c r="G45" i="10"/>
  <c r="G32" i="10"/>
  <c r="G37" i="10"/>
  <c r="H32" i="10"/>
  <c r="G30" i="10"/>
  <c r="G35" i="10"/>
  <c r="H44" i="10"/>
  <c r="G34" i="10"/>
  <c r="H34" i="10"/>
  <c r="K39" i="10"/>
  <c r="J43" i="10"/>
  <c r="J37" i="10"/>
  <c r="K46" i="10"/>
  <c r="K47" i="10"/>
  <c r="K32" i="10"/>
  <c r="K43" i="10"/>
  <c r="J38" i="10"/>
  <c r="K31" i="10"/>
  <c r="J50" i="10"/>
  <c r="J33" i="10"/>
  <c r="J42" i="10"/>
  <c r="K30" i="10"/>
  <c r="J32" i="10"/>
  <c r="K49" i="10"/>
  <c r="K36" i="10"/>
  <c r="K44" i="10"/>
  <c r="K37" i="10"/>
  <c r="K34" i="10"/>
  <c r="J40" i="10"/>
  <c r="K45" i="10"/>
  <c r="K48" i="10"/>
  <c r="J48" i="10"/>
  <c r="K41" i="10"/>
  <c r="J31" i="10"/>
  <c r="K38" i="10"/>
  <c r="K50" i="10"/>
  <c r="J34" i="10"/>
  <c r="J47" i="10"/>
  <c r="J49" i="10"/>
  <c r="J36" i="10"/>
  <c r="J45" i="10"/>
  <c r="J30" i="10"/>
  <c r="J39" i="10"/>
  <c r="K40" i="10"/>
  <c r="J46" i="10"/>
  <c r="K42" i="10"/>
  <c r="J41" i="10"/>
  <c r="J44" i="10"/>
  <c r="K35" i="10"/>
  <c r="K33" i="10"/>
  <c r="J35" i="10"/>
  <c r="B29" i="13" l="1"/>
  <c r="O61" i="8"/>
  <c r="K61" i="8"/>
  <c r="M62" i="8"/>
  <c r="N58" i="8"/>
  <c r="M58" i="8"/>
  <c r="L59" i="8"/>
  <c r="L61" i="8"/>
  <c r="K59" i="8"/>
  <c r="M60" i="8"/>
  <c r="N61" i="8"/>
  <c r="K58" i="8"/>
  <c r="O58" i="8"/>
  <c r="L58" i="8"/>
  <c r="M61" i="8"/>
  <c r="M59" i="8"/>
  <c r="N59" i="8"/>
  <c r="K62" i="8"/>
  <c r="L60" i="8"/>
  <c r="N60" i="8"/>
  <c r="N62" i="8"/>
  <c r="O59" i="8"/>
  <c r="O60" i="8"/>
  <c r="L62" i="8"/>
  <c r="K60" i="8"/>
  <c r="O62" i="8"/>
  <c r="B148" i="8"/>
  <c r="I148" i="8" s="1"/>
  <c r="A149" i="8"/>
  <c r="N74" i="8"/>
  <c r="N73" i="8"/>
  <c r="L72" i="8"/>
  <c r="K73" i="8"/>
  <c r="L76" i="8"/>
  <c r="M73" i="8"/>
  <c r="L73" i="8"/>
  <c r="M72" i="8"/>
  <c r="M74" i="8"/>
  <c r="O75" i="8"/>
  <c r="K76" i="8"/>
  <c r="N72" i="8"/>
  <c r="L74" i="8"/>
  <c r="K72" i="8"/>
  <c r="O73" i="8"/>
  <c r="O76" i="8"/>
  <c r="M76" i="8"/>
  <c r="M75" i="8"/>
  <c r="O74" i="8"/>
  <c r="K75" i="8"/>
  <c r="N76" i="8"/>
  <c r="O72" i="8"/>
  <c r="K74" i="8"/>
  <c r="L75" i="8"/>
  <c r="N75" i="8"/>
  <c r="L157" i="8"/>
  <c r="O157" i="8"/>
  <c r="N157" i="8"/>
  <c r="M157" i="8"/>
  <c r="P86" i="8" a="1"/>
  <c r="A67" i="4"/>
  <c r="B66" i="4"/>
  <c r="C37" i="9"/>
  <c r="B37" i="9"/>
  <c r="A38" i="9"/>
  <c r="P44" i="8" a="1"/>
  <c r="A68" i="4" l="1"/>
  <c r="B67" i="4"/>
  <c r="P87" i="8"/>
  <c r="P88" i="8"/>
  <c r="P90" i="8"/>
  <c r="P89" i="8"/>
  <c r="P86" i="8"/>
  <c r="P72" i="8" a="1"/>
  <c r="P48" i="8"/>
  <c r="E54" i="8" s="1"/>
  <c r="L160" i="8" s="1"/>
  <c r="P45" i="8"/>
  <c r="P47" i="8"/>
  <c r="P46" i="8"/>
  <c r="P44" i="8"/>
  <c r="A39" i="9"/>
  <c r="B38" i="9"/>
  <c r="C38" i="9"/>
  <c r="B149" i="8"/>
  <c r="I149" i="8" s="1"/>
  <c r="A150" i="8"/>
  <c r="P58" i="8" a="1"/>
  <c r="P61" i="8" l="1"/>
  <c r="P58" i="8"/>
  <c r="P62" i="8"/>
  <c r="E68" i="8" s="1"/>
  <c r="M160" i="8" s="1"/>
  <c r="P60" i="8"/>
  <c r="P59" i="8"/>
  <c r="D51" i="8"/>
  <c r="L144" i="8" s="1"/>
  <c r="C51" i="8"/>
  <c r="D93" i="8"/>
  <c r="O144" i="8" s="1"/>
  <c r="C93" i="8"/>
  <c r="D94" i="8"/>
  <c r="O149" i="8" s="1"/>
  <c r="C94" i="8"/>
  <c r="E93" i="8"/>
  <c r="O145" i="8" s="1"/>
  <c r="A151" i="8"/>
  <c r="B150" i="8"/>
  <c r="I150" i="8" s="1"/>
  <c r="P75" i="8"/>
  <c r="P72" i="8"/>
  <c r="P74" i="8"/>
  <c r="P73" i="8"/>
  <c r="P76" i="8"/>
  <c r="E82" i="8" s="1"/>
  <c r="N160" i="8" s="1"/>
  <c r="E95" i="8"/>
  <c r="O155" i="8" s="1"/>
  <c r="D96" i="8"/>
  <c r="O159" i="8" s="1"/>
  <c r="C96" i="8"/>
  <c r="C39" i="9"/>
  <c r="B39" i="9"/>
  <c r="A40" i="9"/>
  <c r="E51" i="8"/>
  <c r="L145" i="8" s="1"/>
  <c r="C52" i="8"/>
  <c r="D52" i="8"/>
  <c r="L149" i="8" s="1"/>
  <c r="E94" i="8"/>
  <c r="O150" i="8" s="1"/>
  <c r="D95" i="8"/>
  <c r="O154" i="8" s="1"/>
  <c r="C95" i="8"/>
  <c r="D53" i="8"/>
  <c r="L154" i="8" s="1"/>
  <c r="E52" i="8"/>
  <c r="L150" i="8" s="1"/>
  <c r="C53" i="8"/>
  <c r="D54" i="8"/>
  <c r="L159" i="8" s="1"/>
  <c r="C54" i="8"/>
  <c r="E53" i="8"/>
  <c r="L155" i="8" s="1"/>
  <c r="E96" i="8"/>
  <c r="O160" i="8" s="1"/>
  <c r="A69" i="4"/>
  <c r="B68" i="4"/>
  <c r="A70" i="4" l="1"/>
  <c r="B69" i="4"/>
  <c r="I95" i="8"/>
  <c r="O153" i="8"/>
  <c r="I52" i="8"/>
  <c r="L148" i="8"/>
  <c r="D82" i="8"/>
  <c r="N159" i="8" s="1"/>
  <c r="C82" i="8"/>
  <c r="E81" i="8"/>
  <c r="N155" i="8" s="1"/>
  <c r="I94" i="8"/>
  <c r="O148" i="8"/>
  <c r="D67" i="8"/>
  <c r="M154" i="8" s="1"/>
  <c r="E66" i="8"/>
  <c r="M150" i="8" s="1"/>
  <c r="C67" i="8"/>
  <c r="L143" i="8"/>
  <c r="I51" i="8"/>
  <c r="O163" i="8"/>
  <c r="I96" i="8"/>
  <c r="O158" i="8"/>
  <c r="B40" i="9"/>
  <c r="A41" i="9"/>
  <c r="C40" i="9"/>
  <c r="E80" i="8"/>
  <c r="N150" i="8" s="1"/>
  <c r="D81" i="8"/>
  <c r="N154" i="8" s="1"/>
  <c r="C81" i="8"/>
  <c r="A152" i="8"/>
  <c r="B151" i="8"/>
  <c r="I151" i="8" s="1"/>
  <c r="O143" i="8"/>
  <c r="I93" i="8"/>
  <c r="D65" i="8"/>
  <c r="M144" i="8" s="1"/>
  <c r="C65" i="8"/>
  <c r="I53" i="8"/>
  <c r="L153" i="8"/>
  <c r="D80" i="8"/>
  <c r="N149" i="8" s="1"/>
  <c r="C80" i="8"/>
  <c r="E79" i="8"/>
  <c r="N145" i="8" s="1"/>
  <c r="I54" i="8"/>
  <c r="L158" i="8"/>
  <c r="D79" i="8"/>
  <c r="N144" i="8" s="1"/>
  <c r="C79" i="8"/>
  <c r="E65" i="8"/>
  <c r="M145" i="8" s="1"/>
  <c r="C66" i="8"/>
  <c r="D66" i="8"/>
  <c r="M149" i="8" s="1"/>
  <c r="D68" i="8"/>
  <c r="M159" i="8" s="1"/>
  <c r="C68" i="8"/>
  <c r="E67" i="8"/>
  <c r="M155" i="8" s="1"/>
  <c r="I81" i="8" l="1"/>
  <c r="N153" i="8"/>
  <c r="B41" i="9"/>
  <c r="C41" i="9"/>
  <c r="A42" i="9"/>
  <c r="I67" i="8"/>
  <c r="M153" i="8"/>
  <c r="G143" i="8"/>
  <c r="G142" i="8"/>
  <c r="G144" i="8"/>
  <c r="G145" i="8"/>
  <c r="G146" i="8"/>
  <c r="C149" i="8"/>
  <c r="C147" i="8"/>
  <c r="C150" i="8"/>
  <c r="C151" i="8"/>
  <c r="C148" i="8"/>
  <c r="G162" i="8"/>
  <c r="G161" i="8"/>
  <c r="I82" i="8"/>
  <c r="N158" i="8"/>
  <c r="B70" i="4"/>
  <c r="A71" i="4"/>
  <c r="I68" i="8"/>
  <c r="M158" i="8"/>
  <c r="I79" i="8"/>
  <c r="N143" i="8"/>
  <c r="I80" i="8"/>
  <c r="N148" i="8"/>
  <c r="M143" i="8"/>
  <c r="I65" i="8"/>
  <c r="I66" i="8"/>
  <c r="M148" i="8"/>
  <c r="C162" i="8"/>
  <c r="C161" i="8"/>
  <c r="B152" i="8"/>
  <c r="I152" i="8" s="1"/>
  <c r="A153" i="8"/>
  <c r="C143" i="8"/>
  <c r="C145" i="8"/>
  <c r="C144" i="8"/>
  <c r="C146" i="8"/>
  <c r="C142" i="8"/>
  <c r="G150" i="8"/>
  <c r="G149" i="8"/>
  <c r="G151" i="8"/>
  <c r="G148" i="8"/>
  <c r="G147" i="8"/>
  <c r="G152" i="8"/>
  <c r="L163" i="8"/>
  <c r="C140" i="8" l="1"/>
  <c r="D143" i="8"/>
  <c r="D145" i="8"/>
  <c r="D146" i="8"/>
  <c r="D144" i="8"/>
  <c r="D142" i="8"/>
  <c r="E152" i="8"/>
  <c r="C152" i="8"/>
  <c r="A154" i="8"/>
  <c r="B153" i="8"/>
  <c r="D150" i="8"/>
  <c r="D148" i="8"/>
  <c r="D147" i="8"/>
  <c r="D151" i="8"/>
  <c r="D149" i="8"/>
  <c r="E151" i="8"/>
  <c r="E148" i="8"/>
  <c r="E150" i="8"/>
  <c r="E149" i="8"/>
  <c r="E147" i="8"/>
  <c r="D161" i="8"/>
  <c r="D162" i="8"/>
  <c r="E161" i="8"/>
  <c r="E162" i="8"/>
  <c r="N163" i="8"/>
  <c r="B42" i="9"/>
  <c r="C42" i="9"/>
  <c r="A43" i="9"/>
  <c r="C163" i="8"/>
  <c r="C165" i="8"/>
  <c r="C164" i="8"/>
  <c r="C167" i="8"/>
  <c r="L162" i="8"/>
  <c r="G140" i="8"/>
  <c r="E145" i="8"/>
  <c r="E143" i="8"/>
  <c r="E140" i="8" s="1"/>
  <c r="E142" i="8"/>
  <c r="E146" i="8"/>
  <c r="E144" i="8"/>
  <c r="B71" i="4"/>
  <c r="A72" i="4"/>
  <c r="G163" i="8"/>
  <c r="G167" i="8"/>
  <c r="G164" i="8"/>
  <c r="G165" i="8"/>
  <c r="O162" i="8"/>
  <c r="D153" i="8"/>
  <c r="D152" i="8"/>
  <c r="M163" i="8"/>
  <c r="B43" i="9" l="1"/>
  <c r="C43" i="9"/>
  <c r="A44" i="9"/>
  <c r="M162" i="8"/>
  <c r="D167" i="8"/>
  <c r="D164" i="8"/>
  <c r="D163" i="8"/>
  <c r="D165" i="8"/>
  <c r="N162" i="8"/>
  <c r="E165" i="8"/>
  <c r="E167" i="8"/>
  <c r="E163" i="8"/>
  <c r="E164" i="8"/>
  <c r="I153" i="8"/>
  <c r="C153" i="8"/>
  <c r="G153" i="8"/>
  <c r="E153" i="8"/>
  <c r="D140" i="8"/>
  <c r="A73" i="4"/>
  <c r="B73" i="4" s="1"/>
  <c r="B72" i="4"/>
  <c r="B154" i="8"/>
  <c r="A155" i="8"/>
  <c r="C44" i="9" l="1"/>
  <c r="A45" i="9"/>
  <c r="B44" i="9"/>
  <c r="B155" i="8"/>
  <c r="A156" i="8"/>
  <c r="I154" i="8"/>
  <c r="G154" i="8"/>
  <c r="C154" i="8"/>
  <c r="D154" i="8"/>
  <c r="E154" i="8"/>
  <c r="I155" i="8" l="1"/>
  <c r="C155" i="8"/>
  <c r="G155" i="8"/>
  <c r="D155" i="8"/>
  <c r="E155" i="8"/>
  <c r="C45" i="9"/>
  <c r="A46" i="9"/>
  <c r="B45" i="9"/>
  <c r="A157" i="8"/>
  <c r="B156" i="8"/>
  <c r="C46" i="9" l="1"/>
  <c r="A47" i="9"/>
  <c r="B46" i="9"/>
  <c r="I156" i="8"/>
  <c r="C156" i="8"/>
  <c r="G156" i="8"/>
  <c r="E156" i="8"/>
  <c r="D156" i="8"/>
  <c r="A158" i="8"/>
  <c r="B157" i="8"/>
  <c r="A48" i="9" l="1"/>
  <c r="B47" i="9"/>
  <c r="C47" i="9"/>
  <c r="I157" i="8"/>
  <c r="C157" i="8"/>
  <c r="G157" i="8"/>
  <c r="D157" i="8"/>
  <c r="E157" i="8"/>
  <c r="A159" i="8"/>
  <c r="B158" i="8"/>
  <c r="I158" i="8" l="1"/>
  <c r="G158" i="8"/>
  <c r="C158" i="8"/>
  <c r="D158" i="8"/>
  <c r="E158" i="8"/>
  <c r="B159" i="8"/>
  <c r="A160" i="8"/>
  <c r="B160" i="8" s="1"/>
  <c r="C48" i="9"/>
  <c r="A49" i="9"/>
  <c r="B48" i="9"/>
  <c r="I160" i="8" l="1"/>
  <c r="C160" i="8"/>
  <c r="G160" i="8"/>
  <c r="D160" i="8"/>
  <c r="E160" i="8"/>
  <c r="I159" i="8"/>
  <c r="G159" i="8"/>
  <c r="C159" i="8"/>
  <c r="E159" i="8"/>
  <c r="D159" i="8"/>
  <c r="B49" i="9"/>
  <c r="A50" i="9"/>
  <c r="C49" i="9"/>
  <c r="C50" i="9" l="1"/>
  <c r="A51" i="9"/>
  <c r="B50" i="9"/>
  <c r="A52" i="9" l="1"/>
  <c r="B51" i="9"/>
  <c r="C51" i="9"/>
  <c r="A53" i="9" l="1"/>
  <c r="C52" i="9"/>
  <c r="B52" i="9"/>
  <c r="B53" i="9" l="1"/>
  <c r="A54" i="9"/>
  <c r="C53" i="9"/>
  <c r="B54" i="9" l="1"/>
  <c r="A55" i="9"/>
  <c r="C54" i="9"/>
  <c r="B55" i="9" l="1"/>
  <c r="C55" i="9"/>
</calcChain>
</file>

<file path=xl/sharedStrings.xml><?xml version="1.0" encoding="utf-8"?>
<sst xmlns="http://schemas.openxmlformats.org/spreadsheetml/2006/main" count="747" uniqueCount="430">
  <si>
    <t>b</t>
  </si>
  <si>
    <t>Radius</t>
  </si>
  <si>
    <t>d</t>
  </si>
  <si>
    <t>c</t>
  </si>
  <si>
    <t>Cubic Spline Function</t>
  </si>
  <si>
    <t>Input:</t>
  </si>
  <si>
    <t>X Coords</t>
  </si>
  <si>
    <t>Column 1</t>
  </si>
  <si>
    <t>Column 2</t>
  </si>
  <si>
    <t>Column 3</t>
  </si>
  <si>
    <t>Column 4</t>
  </si>
  <si>
    <t>Column 5</t>
  </si>
  <si>
    <t>Interpolation X Coords</t>
  </si>
  <si>
    <t>Output Type</t>
  </si>
  <si>
    <t>} X and Y coordinates of the line, x must be in ascending order</t>
  </si>
  <si>
    <t>Fit a cubic spline to a a series of XY coordinates</t>
  </si>
  <si>
    <t xml:space="preserve"> 2 for polynomial coefficients and related data</t>
  </si>
  <si>
    <t>Spline Y values</t>
  </si>
  <si>
    <t>Slope</t>
  </si>
  <si>
    <t>Curvature</t>
  </si>
  <si>
    <t xml:space="preserve"> Out = 1</t>
  </si>
  <si>
    <t>Column 6</t>
  </si>
  <si>
    <t>Data1</t>
  </si>
  <si>
    <t>Spline1</t>
  </si>
  <si>
    <t>X</t>
  </si>
  <si>
    <t>Y</t>
  </si>
  <si>
    <t>Spline2</t>
  </si>
  <si>
    <t>Example 1; Fit spline to 5 data points</t>
  </si>
  <si>
    <t>Arc Length</t>
  </si>
  <si>
    <t>Example 2; Fit spline to 9 data points on a circular arc</t>
  </si>
  <si>
    <t>Arc length</t>
  </si>
  <si>
    <t>Chord Length</t>
  </si>
  <si>
    <t>Disclaimer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</si>
  <si>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</si>
  <si>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</si>
  <si>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</si>
  <si>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</si>
  <si>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</si>
  <si>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</si>
  <si>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</si>
  <si>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</si>
  <si>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A copy of the GNU General Public License may be obtained from:</t>
  </si>
  <si>
    <t>The Free Software Foundation, Inc.</t>
  </si>
  <si>
    <t xml:space="preserve"> 59 Temple Place - Suite 330, Boston, MA  02111-1307, USA.</t>
  </si>
  <si>
    <t xml:space="preserve"> </t>
  </si>
  <si>
    <t>dougjenkins@interactiveds.com.au</t>
  </si>
  <si>
    <t>www.interactiveds.com.au</t>
  </si>
  <si>
    <t>ã</t>
  </si>
  <si>
    <t>Revision History</t>
  </si>
  <si>
    <t>Current Version</t>
  </si>
  <si>
    <t>Rev</t>
  </si>
  <si>
    <t>Date</t>
  </si>
  <si>
    <t>By</t>
  </si>
  <si>
    <t>Description</t>
  </si>
  <si>
    <t>DAJ</t>
  </si>
  <si>
    <t>First release</t>
  </si>
  <si>
    <t>http://newtonexcelbach.wordpress.com/</t>
  </si>
  <si>
    <t>To enter an array function:</t>
  </si>
  <si>
    <t>Enter the function in the top left cell of the output range</t>
  </si>
  <si>
    <t>Select the entire output range</t>
  </si>
  <si>
    <t>Press F2</t>
  </si>
  <si>
    <t>Press Ctrl-shift-enter</t>
  </si>
  <si>
    <t>Polynomial coefficients from example 2</t>
  </si>
  <si>
    <t>Example 3; Fit spline to the deflected shape of a 3 span beam</t>
  </si>
  <si>
    <t>Span lengths</t>
  </si>
  <si>
    <t>Mid-span deflection</t>
  </si>
  <si>
    <t>mm</t>
  </si>
  <si>
    <t>m</t>
  </si>
  <si>
    <t>Beam EI</t>
  </si>
  <si>
    <t>Bending Moment</t>
  </si>
  <si>
    <t>Polynomial coefficients from example 3</t>
  </si>
  <si>
    <t>Output:</t>
  </si>
  <si>
    <t>Procedure to fit cubic spline to ordered list of x,y points</t>
  </si>
  <si>
    <t>It can be shown that:</t>
  </si>
  <si>
    <t xml:space="preserve"> where:</t>
  </si>
  <si>
    <t xml:space="preserve"> The values of l and m are defined by the x,y coordinates, so it remains to find the values of c</t>
  </si>
  <si>
    <t xml:space="preserve"> Since m and c (the first and second derivative of f(x)) are defined to be equal for the splines meeting at any node</t>
  </si>
  <si>
    <t>A spline with n segments will have n+1 nodes and n-1 internal nodes, so 2 more equations are required to define the c values</t>
  </si>
  <si>
    <t>In matrix form:</t>
  </si>
  <si>
    <t>[</t>
  </si>
  <si>
    <t xml:space="preserve">      ]</t>
  </si>
  <si>
    <t>=</t>
  </si>
  <si>
    <t>[                         ]</t>
  </si>
  <si>
    <t>Commonly used end conditions include:</t>
  </si>
  <si>
    <t xml:space="preserve">  Specified second derivative.  Where the second derivative = 0 the spline is known as a natural spline.</t>
  </si>
  <si>
    <t xml:space="preserve">  Specified first derivative.  This is known as a clamped spline</t>
  </si>
  <si>
    <t>Examples are given below of each of these end conditions</t>
  </si>
  <si>
    <t>Points to be splined:</t>
  </si>
  <si>
    <t>L</t>
  </si>
  <si>
    <t>M</t>
  </si>
  <si>
    <t>Natural Spline: c(1) = c(5) = 0</t>
  </si>
  <si>
    <t>c(1)</t>
  </si>
  <si>
    <t>c(2)</t>
  </si>
  <si>
    <t>c(3)</t>
  </si>
  <si>
    <t>c(4)</t>
  </si>
  <si>
    <t>c(5)</t>
  </si>
  <si>
    <t>Inverted Matrix</t>
  </si>
  <si>
    <t>Spline</t>
  </si>
  <si>
    <t>a</t>
  </si>
  <si>
    <t>y(n.5)</t>
  </si>
  <si>
    <t>x(n.5)-xn</t>
  </si>
  <si>
    <t>Specified second derivative: c(1) = 1; c(5) = -1</t>
  </si>
  <si>
    <t xml:space="preserve">m(1)  </t>
  </si>
  <si>
    <t xml:space="preserve">m(5)  </t>
  </si>
  <si>
    <t>Clamped Spline 2:</t>
  </si>
  <si>
    <t>Clamped Spline 1:</t>
  </si>
  <si>
    <t>x</t>
  </si>
  <si>
    <t>Nat1</t>
  </si>
  <si>
    <t>Nat2</t>
  </si>
  <si>
    <t>Con1</t>
  </si>
  <si>
    <t>Con2</t>
  </si>
  <si>
    <t>Curve</t>
  </si>
  <si>
    <t>End Action</t>
  </si>
  <si>
    <t>End Curvature</t>
  </si>
  <si>
    <t>f''(x)</t>
  </si>
  <si>
    <t>Fix Curvature:</t>
  </si>
  <si>
    <t>Spline1:</t>
  </si>
  <si>
    <t>End 1</t>
  </si>
  <si>
    <t>End 2</t>
  </si>
  <si>
    <t>Spline2:</t>
  </si>
  <si>
    <t>Fix Slope:</t>
  </si>
  <si>
    <t>Spline3:</t>
  </si>
  <si>
    <t>Spline4:</t>
  </si>
  <si>
    <t>Spline3</t>
  </si>
  <si>
    <t>Spline4</t>
  </si>
  <si>
    <t>Spline No</t>
  </si>
  <si>
    <t>Spline procedures modified, provision for specified end slope or curvature added</t>
  </si>
  <si>
    <t>End condition</t>
  </si>
  <si>
    <t xml:space="preserve"> 1 (default) specified curvature</t>
  </si>
  <si>
    <t xml:space="preserve"> 2 Specified slope</t>
  </si>
  <si>
    <t>End1, End2</t>
  </si>
  <si>
    <t>Y Coords</t>
  </si>
  <si>
    <t xml:space="preserve"> X coordinates where output is required in ascending order</t>
  </si>
  <si>
    <t xml:space="preserve"> 1 (default) for Y values, slope, curvature, radius, and segment lengths</t>
  </si>
  <si>
    <t>b = (y(j+1) - y(j)) / h(j) - h(j) * c(j+1) + 2* c(j) / 3</t>
  </si>
  <si>
    <t>c = z(j) - mu(j) * c(j+1);  c(n) = 0</t>
  </si>
  <si>
    <t>d = (c(j+1) - c(j)) / (3 * h(j))</t>
  </si>
  <si>
    <t>a = y(j)</t>
  </si>
  <si>
    <t>Aim:  For a list of XY coordinates, X(1 to n) and Y(1 to n), to find a, b, c, d in</t>
  </si>
  <si>
    <t xml:space="preserve"> Y = a + b(x - X(i)) + c(x - X(i))^2 + d(x- X(i))^3</t>
  </si>
  <si>
    <t xml:space="preserve"> a = Y(i)</t>
  </si>
  <si>
    <t xml:space="preserve"> b = m(i) - l(i)/6(2c(i) + c(i+1))</t>
  </si>
  <si>
    <t xml:space="preserve"> c = c(i)/2</t>
  </si>
  <si>
    <t xml:space="preserve"> d = (c(i+1) - c(i)) / (6l(i))</t>
  </si>
  <si>
    <t xml:space="preserve"> l(i) = x(i+1) - x(i)</t>
  </si>
  <si>
    <t xml:space="preserve"> m(i) = (y(i+1) - y(i)) / l(i)</t>
  </si>
  <si>
    <t xml:space="preserve"> l(i-1)c(i-1) + 2(l(i-1) + l(i))c(i) + l(i)(c(i+1)) = 6(m(i) - m(i-1))</t>
  </si>
  <si>
    <t>[ c(i-1)   ]</t>
  </si>
  <si>
    <t>[ l(i-1)</t>
  </si>
  <si>
    <t>2(l(i-1) + l(i))</t>
  </si>
  <si>
    <t>[ c(i)      ]</t>
  </si>
  <si>
    <t>[ c(i+1)  ]</t>
  </si>
  <si>
    <t>6(m(i) - m(i-1))</t>
  </si>
  <si>
    <t>y(i.5)</t>
  </si>
  <si>
    <t xml:space="preserve"> c(i) = d2y/dx2 at point i</t>
  </si>
  <si>
    <t xml:space="preserve"> it can be shown that for any point, i:</t>
  </si>
  <si>
    <t>l(i)   ]</t>
  </si>
  <si>
    <t>x(i.5)-x(i)</t>
  </si>
  <si>
    <t xml:space="preserve"> for each segment, where x lies between X(i) and X(i+1)</t>
  </si>
  <si>
    <t>[ 6(m(i) - m(i-1))    ]</t>
  </si>
  <si>
    <t>Corrected for points with x &lt; first spline point.  Area function added</t>
  </si>
  <si>
    <t>Cubic Spline Area Function</t>
  </si>
  <si>
    <t>Having found the coefficients of the cubic curve for each segment it is a simple matter to find the area under the curve.</t>
  </si>
  <si>
    <t>Then the area under the curve for segnment i is given by:</t>
  </si>
  <si>
    <t>If for the list of XY coordinates, X(1 to n) and Y(1 to n), we have coefficients, a, b, c, d, for each segment such that:</t>
  </si>
  <si>
    <t xml:space="preserve"> where x lies between X(i) and X(i+1)</t>
  </si>
  <si>
    <t xml:space="preserve"> and the length of the segment = L(i) = X(i+1) - X(i)</t>
  </si>
  <si>
    <t xml:space="preserve">  Area(i) = a L(i) + b(L(i)^2)/2 + c(L(i)^3)/3 + d(L(i)^4)/4</t>
  </si>
  <si>
    <t>The function CSArea() carries out this procedure for a cubic spline specified by a list of XY coordinates.</t>
  </si>
  <si>
    <t xml:space="preserve"> =CSArea(X Coords, Y Coords, Integration Limits, Optional End condition, Optional End1, Optional End2)</t>
  </si>
  <si>
    <t>Integration limits</t>
  </si>
  <si>
    <t xml:space="preserve">  Lower and upper bound X values for the integration; if omitted first and last values from X Coords are used</t>
  </si>
  <si>
    <t xml:space="preserve">  Must be a single column or single row range with two cells</t>
  </si>
  <si>
    <t xml:space="preserve"> Curvature or slope at ends of spline, default = 0</t>
  </si>
  <si>
    <t>} Values must be in single column ranges</t>
  </si>
  <si>
    <t>Output is the area under the curve between the specified limits</t>
  </si>
  <si>
    <t>Note:</t>
  </si>
  <si>
    <t xml:space="preserve">  of equal length</t>
  </si>
  <si>
    <t xml:space="preserve">  Since each segment area is evaluated independently, there is no requirement for the segments to be</t>
  </si>
  <si>
    <t>Example: area of a semi-circle</t>
  </si>
  <si>
    <t>Circle Radius</t>
  </si>
  <si>
    <t>Area from CSArea</t>
  </si>
  <si>
    <t>Exact Area</t>
  </si>
  <si>
    <t>Error</t>
  </si>
  <si>
    <t>Angle, radians</t>
  </si>
  <si>
    <t>Solve Spline Function</t>
  </si>
  <si>
    <t>Find the X value for a specified Y on a cubic spline defined by a series of XY coordinates</t>
  </si>
  <si>
    <t>} X and Y coordinates defining the cubic spline, x must be in ascending order</t>
  </si>
  <si>
    <t>Y values</t>
  </si>
  <si>
    <t>Y values for which the X value will be found; single column range or single cell</t>
  </si>
  <si>
    <t>X Range</t>
  </si>
  <si>
    <t>Example 1; Find X for Y = 2 for a Spline defined by 5 data points and various end conditions</t>
  </si>
  <si>
    <t>Solution for Y =</t>
  </si>
  <si>
    <t>Xmin</t>
  </si>
  <si>
    <t>Xmax</t>
  </si>
  <si>
    <t>Example 2; Find X for Y = -0.5 for two X ranges, using the same data</t>
  </si>
  <si>
    <t>Example 3; Find X between 3 and 4 for 6 different Y values, using the same data</t>
  </si>
  <si>
    <t>SolveSplineA function added</t>
  </si>
  <si>
    <t xml:space="preserve">  Allowable range of solution values, 2 row or 2 col range, must be within X Coords, default = xcoords range</t>
  </si>
  <si>
    <t xml:space="preserve"> Curves are the same as CSpline Example 1</t>
  </si>
  <si>
    <t>Cubic Hermite Spline Function</t>
  </si>
  <si>
    <t>Mono</t>
  </si>
  <si>
    <t xml:space="preserve"> 1 or TRUE for monotonic spline</t>
  </si>
  <si>
    <t xml:space="preserve"> 1 (default) for Y values</t>
  </si>
  <si>
    <t xml:space="preserve"> 2 for slope and curvature</t>
  </si>
  <si>
    <t xml:space="preserve"> Out = 2</t>
  </si>
  <si>
    <t xml:space="preserve"> 0 or False (default) for standard spline</t>
  </si>
  <si>
    <t>CSpline</t>
  </si>
  <si>
    <t>CHSpline, Mono  = FALSE</t>
  </si>
  <si>
    <t>CHSpline, Mono  = TRUE</t>
  </si>
  <si>
    <t>Cubic Hermite Spline function added</t>
  </si>
  <si>
    <t>Cardinal Spline Function</t>
  </si>
  <si>
    <t>Fit a Cardinal Spline to a a series of XY coordinates</t>
  </si>
  <si>
    <t>} X and Y coordinates of the line, Ascending x is not required</t>
  </si>
  <si>
    <t>Interpolation point type</t>
  </si>
  <si>
    <t xml:space="preserve"> "L", decimal number indicating segment number and position of point along line segment.</t>
  </si>
  <si>
    <t xml:space="preserve"> "X" or "Y", x or y coordinates</t>
  </si>
  <si>
    <t>Interpolation Point Type</t>
  </si>
  <si>
    <t>Function OutPut</t>
  </si>
  <si>
    <t>Col 1</t>
  </si>
  <si>
    <t>Col 2</t>
  </si>
  <si>
    <t>Tension</t>
  </si>
  <si>
    <t>Ptype = L</t>
  </si>
  <si>
    <t>Ptype = X</t>
  </si>
  <si>
    <t>Ptype = Y</t>
  </si>
  <si>
    <t>Chart Spline Function</t>
  </si>
  <si>
    <t>'Returns x,y values at a given position along a smoothed chart line</t>
  </si>
  <si>
    <t>Interpolation points</t>
  </si>
  <si>
    <t xml:space="preserve"> L, values where output is required.</t>
  </si>
  <si>
    <t>Series</t>
  </si>
  <si>
    <t>Optional chart series number</t>
  </si>
  <si>
    <t>Chart</t>
  </si>
  <si>
    <t>Optional chart name</t>
  </si>
  <si>
    <t>Output is a 2 column array of X and Y coordinates, enter as an array function:</t>
  </si>
  <si>
    <t>Exampe</t>
  </si>
  <si>
    <t>Interpolation Points</t>
  </si>
  <si>
    <t xml:space="preserve"> L, X or Y values where output is required.</t>
  </si>
  <si>
    <t>Example 1; Fit spline to 5 data points + 2 dummy end points</t>
  </si>
  <si>
    <t>Based on a function by Lori Miller</t>
  </si>
  <si>
    <t>http://www.internetcomputerforum.com/forum/microsoft-excel-forum/129901-smooth-line-xy-chart.html</t>
  </si>
  <si>
    <t>Cardinal Spline and Chart Spline functions added</t>
  </si>
  <si>
    <t xml:space="preserve"> =ChartSplineA( Interpolation points, Optional Series, Optional Chart)</t>
  </si>
  <si>
    <t xml:space="preserve"> Value controlling the shape of the curve between interpolation points</t>
  </si>
  <si>
    <t>Documentation corrected for Cardinal Spline and Chart Spline functions</t>
  </si>
  <si>
    <t>Slope and curvature output for Cubic Hermite Spline function corrected</t>
  </si>
  <si>
    <t>CHSplinea corrected for Monotonic = true and segments with exactly zero slope.</t>
  </si>
  <si>
    <t>On-sheet Spline Interpolation Methods</t>
  </si>
  <si>
    <t>Linear Spline Interpolation</t>
  </si>
  <si>
    <t>Strength</t>
  </si>
  <si>
    <t>Creep Coef</t>
  </si>
  <si>
    <t>To find the creep coefficient for a concrete strength of 60 Mpa:</t>
  </si>
  <si>
    <t>Find the position of the highest tabulated strength less than 60, using the Match Function:</t>
  </si>
  <si>
    <t>Find the strength values bracketing 60 Mpa, and the associated creep coefficients using</t>
  </si>
  <si>
    <t>the Index or Offset functions:</t>
  </si>
  <si>
    <t>Trend function =TREND(E21:E22,D21:D22,A17)</t>
  </si>
  <si>
    <t>http://peltiertech.com/WordPress/excel-interpolation-formulas/#more-3322</t>
  </si>
  <si>
    <t>Trend – Cubic polynomial (equivalent to polynomial trend line order 3):</t>
  </si>
  <si>
    <t xml:space="preserve"> =TREND(B6:B13,A6:A13^{1,2,3},A17^{1,2,3})</t>
  </si>
  <si>
    <t>Linear – For decreasing data (or for increasing omit the 1- after first comma):</t>
  </si>
  <si>
    <t xml:space="preserve"> =PERCENTILE(C6:C13,1-PERCENTRANK(A6:B13,A17,20))</t>
  </si>
  <si>
    <t xml:space="preserve"> =TREND(OFFSET(C6,MATCH(A17,B6:B13)-2,,4),OFFSET(B6,MATCH(A17,B6:B13)-2,,4)^{1,2,3},A17^{1,2,3})</t>
  </si>
  <si>
    <t xml:space="preserve">   ^-{0;1;2;3}*MMULT({0,2,0,0;-1,0,1,0;2,-5,4,-1;-1,3,-3,1},OFFSET(C6,MATCH(A17,B6:B13)-2,,4)))/2</t>
  </si>
  <si>
    <t xml:space="preserve"> =SUM((1+1/IRR(MMULT({0,0,2,0;0,1,0,-1;-1,4,-5,2;1,-3,3,-1},OFFSET(B6,MATCH(A17,B6:B13)-2,,4)-A17 )))</t>
  </si>
  <si>
    <t>These functions are compared with the equivalent UDF results in the table below</t>
  </si>
  <si>
    <t>InterpA</t>
  </si>
  <si>
    <t>Percentile</t>
  </si>
  <si>
    <t>Linear Spline</t>
  </si>
  <si>
    <t>Cubic fit or spline</t>
  </si>
  <si>
    <t>CsplineA</t>
  </si>
  <si>
    <t>CardSplineA</t>
  </si>
  <si>
    <t>Trend, Cubic</t>
  </si>
  <si>
    <t>Lagrange – A cubic fit based on the surrounding 4 points:</t>
  </si>
  <si>
    <t>Lagrange</t>
  </si>
  <si>
    <t>1.</t>
  </si>
  <si>
    <t>2.</t>
  </si>
  <si>
    <t>3.</t>
  </si>
  <si>
    <t>Find the interpolated value using simple arithmetic, or the Trend Function</t>
  </si>
  <si>
    <t>Arithmetic: =C21+(C22-C21)*(A17-B21)/(B22-B21)</t>
  </si>
  <si>
    <t>Sample Data (concrete creep coefficients)</t>
  </si>
  <si>
    <t>Catmull- Rom</t>
  </si>
  <si>
    <t>Index (=INDEX(B$6:B$13,$A21))</t>
  </si>
  <si>
    <t>Offset         (=OFFSET(B6,A21-1,0,2,2))</t>
  </si>
  <si>
    <t>Linear and Non-Linear Spline Interpolation and curve fitting</t>
  </si>
  <si>
    <t xml:space="preserve"> "On-sheet" tab added</t>
  </si>
  <si>
    <t>Spline – Catmull-Rom (equivalent to “smooth line” option):</t>
  </si>
  <si>
    <t>Note: the following formulas are taken from a comment by lhem at Jon Peltier's Blog:</t>
  </si>
  <si>
    <t>*</t>
  </si>
  <si>
    <t xml:space="preserve"> * Top and bottom rows are dummy values to allow Cardinal splines to extend to the last segment</t>
  </si>
  <si>
    <t>y</t>
  </si>
  <si>
    <t>Example 4; Find multiple X values for 6 different Y values</t>
  </si>
  <si>
    <t>Data 2</t>
  </si>
  <si>
    <t>Y Values</t>
  </si>
  <si>
    <t>Results</t>
  </si>
  <si>
    <t>SolveSplineA function modified to return multiple solutions</t>
  </si>
  <si>
    <r>
      <t xml:space="preserve">Input: </t>
    </r>
    <r>
      <rPr>
        <b/>
        <i/>
        <sz val="11"/>
        <rFont val="Arial"/>
        <family val="2"/>
      </rPr>
      <t>(Input in italics is optional)</t>
    </r>
  </si>
  <si>
    <t>NumOut</t>
  </si>
  <si>
    <t>Number of output values; default = number of Y Values</t>
  </si>
  <si>
    <t>Output is a two column array (X values and Y Values), enter as an array function:</t>
  </si>
  <si>
    <t>Code modified to accept single interpolant value</t>
  </si>
  <si>
    <t>Modified for horizontal output array when XInt values arranged in a row.</t>
  </si>
  <si>
    <r>
      <t xml:space="preserve">Input </t>
    </r>
    <r>
      <rPr>
        <b/>
        <i/>
        <sz val="11"/>
        <rFont val="Arial"/>
        <family val="2"/>
      </rPr>
      <t>(optional input in italics)</t>
    </r>
    <r>
      <rPr>
        <b/>
        <sz val="11"/>
        <rFont val="Arial"/>
        <family val="2"/>
      </rPr>
      <t>:</t>
    </r>
  </si>
  <si>
    <t>} Values must be in single column or row ranges</t>
  </si>
  <si>
    <t xml:space="preserve"> X coordinates where output is required in ascending order; single column or row</t>
  </si>
  <si>
    <t>TransposeH</t>
  </si>
  <si>
    <t>If the Interpolation X Coords range is a row, and TransposeH = False then output in columns</t>
  </si>
  <si>
    <t>Otherwise the output is oriented as the X Coord range (default).</t>
  </si>
  <si>
    <t>Output is a 6 or 5 column or row array, enter as an array function:</t>
  </si>
  <si>
    <t>Output from Example 1 with interpolation X values in a row.</t>
  </si>
  <si>
    <t>Output is a 1 or 2 column or row array, enter as an array function:</t>
  </si>
  <si>
    <t>Output is a 2 column or row array, enter as an array function:</t>
  </si>
  <si>
    <r>
      <t xml:space="preserve"> =CSplineA(X Coords, Y Coords, Interpolation X Coords, </t>
    </r>
    <r>
      <rPr>
        <b/>
        <i/>
        <sz val="10"/>
        <rFont val="Arial"/>
        <family val="2"/>
      </rPr>
      <t>Output type, End condition, End1, End2, TransposeH</t>
    </r>
    <r>
      <rPr>
        <b/>
        <sz val="10"/>
        <rFont val="Arial"/>
        <family val="2"/>
      </rPr>
      <t>)</t>
    </r>
  </si>
  <si>
    <r>
      <t xml:space="preserve"> =SolveSplineA(X Coords, Y Coords, Y Values, </t>
    </r>
    <r>
      <rPr>
        <b/>
        <i/>
        <sz val="10"/>
        <rFont val="Arial"/>
        <family val="2"/>
      </rPr>
      <t>X Range, NumOut, End condition, End1, End2)</t>
    </r>
  </si>
  <si>
    <r>
      <t xml:space="preserve"> =CHSplineA(X Coords, Y Coords, Interpolation X Coords,</t>
    </r>
    <r>
      <rPr>
        <b/>
        <i/>
        <sz val="10"/>
        <rFont val="Arial"/>
        <family val="2"/>
      </rPr>
      <t xml:space="preserve"> Mono, Output type, TransposeH</t>
    </r>
    <r>
      <rPr>
        <b/>
        <sz val="10"/>
        <rFont val="Arial"/>
        <family val="2"/>
      </rPr>
      <t>)</t>
    </r>
  </si>
  <si>
    <r>
      <t xml:space="preserve"> =CardSplineA(X Coords, Y Coords, Interpolation points, Tension, </t>
    </r>
    <r>
      <rPr>
        <b/>
        <i/>
        <sz val="10"/>
        <rFont val="Arial"/>
        <family val="2"/>
      </rPr>
      <t>Interpolation Point Type, TransposeH</t>
    </r>
    <r>
      <rPr>
        <b/>
        <sz val="10"/>
        <rFont val="Arial"/>
        <family val="2"/>
      </rPr>
      <t>)</t>
    </r>
  </si>
  <si>
    <t>Array re-size functions added</t>
  </si>
  <si>
    <t xml:space="preserve"> Copyright  2009-2015 Interactive Design Services Pty Ltd.  all rights reserved</t>
  </si>
  <si>
    <t>Spline array interpolation corrected for Xint values in any order</t>
  </si>
  <si>
    <t xml:space="preserve"> Out = 2 (see algorithm and function code)</t>
  </si>
  <si>
    <t>Example 1; X data in descending order</t>
  </si>
  <si>
    <t>CSpline and CHSpline functions modified to allow X values in ascending or descending order.</t>
  </si>
  <si>
    <t>Year</t>
  </si>
  <si>
    <t>Breeding pairs</t>
  </si>
  <si>
    <t>Bald eagle breeding pairs 1963-2006</t>
  </si>
  <si>
    <t>Metro Area</t>
  </si>
  <si>
    <t>Mean travel time to work</t>
  </si>
  <si>
    <t>New York-Newark-Jersey City, NY-NJ-PA Metro Area</t>
  </si>
  <si>
    <t>Los Angeles-Long Beach-Anaheim, CA Metro Area</t>
  </si>
  <si>
    <t>Chicago-Naperville-Elgin, IL-IN-WI Metro Area</t>
  </si>
  <si>
    <t>Dallas-Fort Worth-Arlington, TX Metro Area</t>
  </si>
  <si>
    <t>Washington-Arlington-Alexandria, DC-VA-MD-WV Metro Area</t>
  </si>
  <si>
    <t>Houston-The Woodlands-Sugar Land, TX Metro Area</t>
  </si>
  <si>
    <t>Miami-Fort Lauderdale-West Palm Beach, FL Metro Area</t>
  </si>
  <si>
    <t>Philadelphia-Camden-Wilmington, PA-NJ-DE-MD Metro Area</t>
  </si>
  <si>
    <t>Atlanta-Sandy Springs-Roswell, GA Metro Area</t>
  </si>
  <si>
    <t>Boston-Cambridge-Newton, MA-NH Metro Area</t>
  </si>
  <si>
    <t>San Francisco-Oakland-Hayward, CA Metro Area</t>
  </si>
  <si>
    <t>Phoenix-Mesa-Scottsdale, AZ Metro Area</t>
  </si>
  <si>
    <t>Seattle-Tacoma-Bellevue, WA Metro Area</t>
  </si>
  <si>
    <t>Workers</t>
  </si>
  <si>
    <t>Detroit-Warren-Dearborn, MI Metro Area</t>
  </si>
  <si>
    <t>Minneapolis-St. Paul-Bloomington, MN-WI Metro Area</t>
  </si>
  <si>
    <t>San Diego-Carlsbad, CA Metro Area</t>
  </si>
  <si>
    <t>Riverside-San Bernardino-Ontario, CA Metro Area</t>
  </si>
  <si>
    <t>Denver-Aurora-Lakewood, CO Metro Area</t>
  </si>
  <si>
    <t>Baltimore-Columbia-Towson, MD Metro Area</t>
  </si>
  <si>
    <t>St. Louis, MO-IL Metro Area</t>
  </si>
  <si>
    <t>Tampa-St. Petersburg-Clearwater, FL Metro Area</t>
  </si>
  <si>
    <t>Charlotte-Concord-Gastonia, NC-SC Metro Area</t>
  </si>
  <si>
    <t>Portland-Vancouver-Hillsboro, OR-WA Metro Area</t>
  </si>
  <si>
    <t>Orlando-Kissimmee-Sanford, FL Metro Area</t>
  </si>
  <si>
    <t>Pittsburgh, PA Metro Area</t>
  </si>
  <si>
    <t>San Antonio-New Braunfels, TX Metro Area</t>
  </si>
  <si>
    <t>Austin-Round Rock, TX Metro Area</t>
  </si>
  <si>
    <t>San Jose-Sunnyvale-Santa Clara, CA Metro Area</t>
  </si>
  <si>
    <t>Kansas City, MO-KS Metro Area</t>
  </si>
  <si>
    <t>Cincinnati, OH-KY-IN Metro Area</t>
  </si>
  <si>
    <t>Columbus, OH Metro Area</t>
  </si>
  <si>
    <t>Cleveland-Elyria, OH Metro Area</t>
  </si>
  <si>
    <t>Sacramento--Roseville--Arden-Arcade, CA Metro Area</t>
  </si>
  <si>
    <t>Las Vegas-Henderson-Paradise, NV Metro Area</t>
  </si>
  <si>
    <t>Indianapolis-Carmel-Anderson, IN Metro Area</t>
  </si>
  <si>
    <t>Nashville-Davidson--Murfreesboro--Franklin, TN Metro Area</t>
  </si>
  <si>
    <t>Virginia Beach-Norfolk-Newport News, VA-NC Metro Area</t>
  </si>
  <si>
    <t>Milwaukee-Waukesha-West Allis, WI Metro Area</t>
  </si>
  <si>
    <t>Providence-Warwick, RI-MA Metro Area</t>
  </si>
  <si>
    <t>Jacksonville, FL Metro Area</t>
  </si>
  <si>
    <t>Salt Lake City, UT Metro Area</t>
  </si>
  <si>
    <t>Oklahoma City, OK Metro Area</t>
  </si>
  <si>
    <t>Raleigh, NC Metro Area</t>
  </si>
  <si>
    <t>Hartford-West Hartford-East Hartford, CT Metro Area</t>
  </si>
  <si>
    <t>Louisville/Jefferson County, KY-IN Metro Area</t>
  </si>
  <si>
    <t>Richmond, VA Metro Area</t>
  </si>
  <si>
    <t>Memphis, TN-MS-AR Metro Area</t>
  </si>
  <si>
    <t>New Orleans-Metairie, LA Metro Area</t>
  </si>
  <si>
    <t>Grand Rapids-Wyoming, MI Metro Area</t>
  </si>
  <si>
    <t>Buffalo-Cheektowaga-Niagara Falls, NY Metro Area</t>
  </si>
  <si>
    <t>Rochester, NY Metro Area</t>
  </si>
  <si>
    <t>Birmingham-Hoover, AL Metro Area</t>
  </si>
  <si>
    <t>Urban Honolulu, HI Metro Area</t>
  </si>
  <si>
    <t>Bridgeport-Stamford-Norwalk, CT Metro Area</t>
  </si>
  <si>
    <t>Omaha-Council Bluffs, NE-IA Metro Area</t>
  </si>
  <si>
    <t>Albany-Schenectady-Troy, NY Metro Area</t>
  </si>
  <si>
    <t>Tulsa, OK Metro Area</t>
  </si>
  <si>
    <t>Tucson, AZ Metro Area</t>
  </si>
  <si>
    <t>Greenville-Anderson-Mauldin, SC Metro Area</t>
  </si>
  <si>
    <t>Albuquerque, NM Metro Area</t>
  </si>
  <si>
    <t>Worcester, MA-CT Metro Area</t>
  </si>
  <si>
    <t>Knoxville, TN Metro Area</t>
  </si>
  <si>
    <t>Columbia, SC Metro Area</t>
  </si>
  <si>
    <t>Baton Rouge, LA Metro Area</t>
  </si>
  <si>
    <t>New Haven-Milford, CT Metro Area</t>
  </si>
  <si>
    <t>Madison, WI Metro Area</t>
  </si>
  <si>
    <t>Dayton, OH Metro Area</t>
  </si>
  <si>
    <t>Fresno, CA Metro Area</t>
  </si>
  <si>
    <t>Allentown-Bethlehem-Easton, PA-NJ Metro Area</t>
  </si>
  <si>
    <t>Oxnard-Thousand Oaks-Ventura, CA Metro Area</t>
  </si>
  <si>
    <t>Greensboro-High Point, NC Metro Area</t>
  </si>
  <si>
    <t>Charleston-North Charleston, SC Metro Area</t>
  </si>
  <si>
    <t>El Paso, TX Metro Area</t>
  </si>
  <si>
    <t>Little Rock-North Little Rock-Conway, AR Metro Area</t>
  </si>
  <si>
    <t>Des Moines-West Des Moines, IA Metro Area</t>
  </si>
  <si>
    <t>Colorado Springs, CO Metro Area</t>
  </si>
  <si>
    <t>Bakersfield, CA Metro Area</t>
  </si>
  <si>
    <t>Akron, OH Metro Area</t>
  </si>
  <si>
    <t>Harrisburg-Carlisle, PA Metro Area</t>
  </si>
  <si>
    <t>Boise City, ID Metro Area</t>
  </si>
  <si>
    <t>Durham-Chapel Hill, NC Metro Area</t>
  </si>
  <si>
    <t>Syracuse, NY Metro Area</t>
  </si>
  <si>
    <t>North Port-Sarasota-Bradenton, FL Metro Area</t>
  </si>
  <si>
    <t>Wichita, KS Metro Area</t>
  </si>
  <si>
    <t>Toledo, OH Metro Area</t>
  </si>
  <si>
    <t>McAllen-Edinburg-Mission, TX Metro Area</t>
  </si>
  <si>
    <t>Springfield, MA Metro Area</t>
  </si>
  <si>
    <t>Cape Coral-Fort Myers, FL Metro Area</t>
  </si>
  <si>
    <t>Lexington-Fayette, KY Metro Area</t>
  </si>
  <si>
    <t>Winston-Salem, NC Metro Area</t>
  </si>
  <si>
    <t>Portland-South Portland, ME Metro Area</t>
  </si>
  <si>
    <t>Jackson, MS Metro Area</t>
  </si>
  <si>
    <t>Stockton-Lodi, CA Metro Area</t>
  </si>
  <si>
    <t>Chattanooga, TN-GA Metro Area</t>
  </si>
  <si>
    <t>Lancaster, PA Metro Area</t>
  </si>
  <si>
    <t>Spokane-Spokane Valley, WA Metro Area</t>
  </si>
  <si>
    <t>Lakeland-Winter Haven, FL Metro Area</t>
  </si>
  <si>
    <t>Scranton--Wilkes-Barre--Hazleton, PA Metro Area</t>
  </si>
  <si>
    <t>Provo-Orem, UT Metro Area</t>
  </si>
  <si>
    <t>Augusta-Richmond County, GA-SC Metro Area</t>
  </si>
  <si>
    <t>Fayetteville-Springdale-Rogers, AR-MO Metro Area</t>
  </si>
  <si>
    <t>Ogden-Clearfield, UT Metro Area</t>
  </si>
  <si>
    <t>Lansing-East Lansing, MI Metro Area</t>
  </si>
  <si>
    <t>Santa Rosa, CA Metro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</si>
</sst>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00"/>
    <numFmt numFmtId="165" formatCode="0.0000"/>
    <numFmt numFmtId="166" formatCode="0.000000"/>
    <numFmt numFmtId="167" formatCode="0.0000000"/>
    <numFmt numFmtId="168" formatCode="0.00000"/>
    <numFmt numFmtId="169" formatCode="0.000E+00"/>
    <numFmt numFmtId="170" formatCode="0.0000000000000"/>
    <numFmt numFmtId="171" formatCode="0.0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Symbol"/>
      <family val="1"/>
      <charset val="2"/>
    </font>
    <font>
      <sz val="12"/>
      <name val="Symbol"/>
      <family val="1"/>
      <charset val="2"/>
    </font>
    <font>
      <sz val="10"/>
      <name val="Courier New"/>
      <family val="3"/>
    </font>
    <font>
      <b/>
      <i/>
      <sz val="10"/>
      <name val="Arial"/>
      <family val="2"/>
    </font>
    <font>
      <b/>
      <i/>
      <sz val="11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indexed="12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F7FF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303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3" fillId="0" borderId="0" xfId="0" applyFont="1"/>
    <xf numFmtId="0" fontId="1" fillId="0" borderId="0" xfId="0" applyFont="1" applyAlignment="1">
      <alignment horizontal="left"/>
    </xf>
    <xf numFmtId="164" fontId="0" fillId="0" borderId="0" xfId="0" applyNumberFormat="1"/>
    <xf numFmtId="166" fontId="0" fillId="0" borderId="0" xfId="0" applyNumberFormat="1"/>
    <xf numFmtId="0" fontId="5" fillId="0" borderId="0" xfId="0" quotePrefix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7" xfId="0" applyBorder="1"/>
    <xf numFmtId="0" fontId="0" fillId="2" borderId="8" xfId="0" applyFill="1" applyBorder="1"/>
    <xf numFmtId="0" fontId="0" fillId="2" borderId="7" xfId="0" applyFill="1" applyBorder="1"/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0" borderId="10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1" fontId="0" fillId="0" borderId="0" xfId="0" applyNumberFormat="1"/>
    <xf numFmtId="168" fontId="0" fillId="0" borderId="0" xfId="0" applyNumberFormat="1"/>
    <xf numFmtId="0" fontId="0" fillId="0" borderId="0" xfId="0" applyBorder="1"/>
    <xf numFmtId="0" fontId="0" fillId="0" borderId="11" xfId="0" applyBorder="1"/>
    <xf numFmtId="0" fontId="0" fillId="3" borderId="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5" fontId="0" fillId="0" borderId="0" xfId="0" applyNumberFormat="1"/>
    <xf numFmtId="0" fontId="6" fillId="0" borderId="0" xfId="0" applyNumberFormat="1" applyFont="1" applyAlignment="1"/>
    <xf numFmtId="0" fontId="7" fillId="0" borderId="0" xfId="0" applyNumberFormat="1" applyFont="1" applyAlignment="1"/>
    <xf numFmtId="0" fontId="6" fillId="0" borderId="0" xfId="0" quotePrefix="1" applyNumberFormat="1" applyFont="1" applyAlignment="1">
      <alignment horizontal="left"/>
    </xf>
    <xf numFmtId="0" fontId="7" fillId="0" borderId="0" xfId="0" applyNumberFormat="1" applyFont="1" applyAlignment="1">
      <alignment horizontal="centerContinuous" wrapText="1"/>
    </xf>
    <xf numFmtId="0" fontId="4" fillId="0" borderId="0" xfId="2" applyNumberFormat="1" applyAlignment="1" applyProtection="1"/>
    <xf numFmtId="0" fontId="7" fillId="0" borderId="0" xfId="0" applyNumberFormat="1" applyFont="1"/>
    <xf numFmtId="0" fontId="7" fillId="0" borderId="0" xfId="0" applyNumberFormat="1" applyFont="1" applyAlignment="1">
      <alignment horizontal="right"/>
    </xf>
    <xf numFmtId="0" fontId="8" fillId="0" borderId="0" xfId="0" applyNumberFormat="1" applyFont="1" applyAlignment="1">
      <alignment horizontal="right"/>
    </xf>
    <xf numFmtId="0" fontId="7" fillId="0" borderId="0" xfId="0" quotePrefix="1" applyNumberFormat="1" applyFont="1" applyAlignment="1">
      <alignment horizontal="left"/>
    </xf>
    <xf numFmtId="0" fontId="9" fillId="0" borderId="0" xfId="0" applyNumberFormat="1" applyFont="1" applyAlignment="1">
      <alignment horizontal="right"/>
    </xf>
    <xf numFmtId="0" fontId="14" fillId="0" borderId="0" xfId="0" applyNumberFormat="1" applyFont="1"/>
    <xf numFmtId="0" fontId="14" fillId="0" borderId="0" xfId="0" applyNumberFormat="1" applyFont="1" applyAlignment="1"/>
    <xf numFmtId="2" fontId="14" fillId="0" borderId="0" xfId="0" applyNumberFormat="1" applyFont="1"/>
    <xf numFmtId="15" fontId="14" fillId="0" borderId="0" xfId="0" applyNumberFormat="1" applyFont="1"/>
    <xf numFmtId="0" fontId="5" fillId="0" borderId="0" xfId="0" applyFont="1"/>
    <xf numFmtId="0" fontId="1" fillId="0" borderId="0" xfId="0" quotePrefix="1" applyFont="1" applyBorder="1" applyAlignment="1">
      <alignment horizontal="left"/>
    </xf>
    <xf numFmtId="0" fontId="1" fillId="0" borderId="0" xfId="0" applyFont="1" applyBorder="1"/>
    <xf numFmtId="0" fontId="3" fillId="0" borderId="0" xfId="0" applyFont="1" applyBorder="1"/>
    <xf numFmtId="0" fontId="3" fillId="0" borderId="12" xfId="0" applyFont="1" applyBorder="1"/>
    <xf numFmtId="0" fontId="0" fillId="0" borderId="12" xfId="0" applyBorder="1"/>
    <xf numFmtId="0" fontId="1" fillId="0" borderId="12" xfId="0" applyFon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" fillId="0" borderId="16" xfId="0" quotePrefix="1" applyFont="1" applyBorder="1" applyAlignment="1">
      <alignment horizontal="left"/>
    </xf>
    <xf numFmtId="0" fontId="1" fillId="0" borderId="17" xfId="0" applyFont="1" applyBorder="1"/>
    <xf numFmtId="0" fontId="1" fillId="0" borderId="17" xfId="0" quotePrefix="1" applyFont="1" applyBorder="1" applyAlignment="1">
      <alignment horizontal="left"/>
    </xf>
    <xf numFmtId="0" fontId="0" fillId="0" borderId="17" xfId="0" applyBorder="1"/>
    <xf numFmtId="0" fontId="1" fillId="0" borderId="18" xfId="0" applyFont="1" applyBorder="1"/>
    <xf numFmtId="0" fontId="3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4" xfId="0" quotePrefix="1" applyFont="1" applyBorder="1" applyAlignment="1">
      <alignment horizontal="centerContinuous"/>
    </xf>
    <xf numFmtId="0" fontId="0" fillId="0" borderId="14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0" fillId="0" borderId="9" xfId="0" applyBorder="1"/>
    <xf numFmtId="0" fontId="0" fillId="0" borderId="19" xfId="0" applyBorder="1"/>
    <xf numFmtId="0" fontId="1" fillId="0" borderId="19" xfId="0" applyFont="1" applyBorder="1"/>
    <xf numFmtId="0" fontId="1" fillId="0" borderId="20" xfId="0" applyFont="1" applyBorder="1"/>
    <xf numFmtId="0" fontId="0" fillId="0" borderId="10" xfId="0" applyBorder="1"/>
    <xf numFmtId="0" fontId="3" fillId="0" borderId="4" xfId="0" applyFont="1" applyFill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3" fillId="0" borderId="11" xfId="0" quotePrefix="1" applyFont="1" applyFill="1" applyBorder="1" applyAlignment="1">
      <alignment horizontal="center"/>
    </xf>
    <xf numFmtId="0" fontId="3" fillId="0" borderId="10" xfId="0" quotePrefix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69" fontId="0" fillId="0" borderId="10" xfId="0" applyNumberFormat="1" applyBorder="1"/>
    <xf numFmtId="169" fontId="0" fillId="0" borderId="0" xfId="0" applyNumberFormat="1"/>
    <xf numFmtId="169" fontId="0" fillId="0" borderId="4" xfId="0" applyNumberFormat="1" applyBorder="1" applyAlignment="1">
      <alignment horizontal="right"/>
    </xf>
    <xf numFmtId="169" fontId="0" fillId="0" borderId="11" xfId="0" applyNumberFormat="1" applyBorder="1" applyAlignment="1">
      <alignment horizontal="right"/>
    </xf>
    <xf numFmtId="3" fontId="0" fillId="0" borderId="10" xfId="1" applyNumberFormat="1" applyFont="1" applyBorder="1"/>
    <xf numFmtId="0" fontId="1" fillId="0" borderId="16" xfId="0" applyFont="1" applyBorder="1" applyAlignment="1">
      <alignment horizontal="left"/>
    </xf>
    <xf numFmtId="2" fontId="3" fillId="0" borderId="21" xfId="0" applyNumberFormat="1" applyFont="1" applyBorder="1"/>
    <xf numFmtId="2" fontId="3" fillId="0" borderId="10" xfId="0" applyNumberFormat="1" applyFont="1" applyBorder="1"/>
    <xf numFmtId="165" fontId="3" fillId="0" borderId="3" xfId="0" applyNumberFormat="1" applyFont="1" applyBorder="1" applyAlignment="1">
      <alignment horizontal="right"/>
    </xf>
    <xf numFmtId="165" fontId="3" fillId="0" borderId="0" xfId="0" applyNumberFormat="1" applyFont="1" applyBorder="1" applyAlignment="1">
      <alignment horizontal="right"/>
    </xf>
    <xf numFmtId="165" fontId="3" fillId="0" borderId="0" xfId="0" applyNumberFormat="1" applyFont="1" applyBorder="1" applyAlignment="1">
      <alignment horizontal="center"/>
    </xf>
    <xf numFmtId="164" fontId="3" fillId="0" borderId="21" xfId="0" applyNumberFormat="1" applyFont="1" applyBorder="1"/>
    <xf numFmtId="165" fontId="3" fillId="0" borderId="21" xfId="0" applyNumberFormat="1" applyFont="1" applyBorder="1" applyAlignment="1">
      <alignment horizontal="right"/>
    </xf>
    <xf numFmtId="165" fontId="3" fillId="0" borderId="0" xfId="0" quotePrefix="1" applyNumberFormat="1" applyFont="1" applyBorder="1" applyAlignment="1">
      <alignment horizontal="right"/>
    </xf>
    <xf numFmtId="169" fontId="3" fillId="0" borderId="20" xfId="0" applyNumberFormat="1" applyFont="1" applyBorder="1"/>
    <xf numFmtId="3" fontId="3" fillId="0" borderId="20" xfId="1" applyNumberFormat="1" applyFont="1" applyBorder="1"/>
    <xf numFmtId="169" fontId="3" fillId="0" borderId="21" xfId="0" applyNumberFormat="1" applyFont="1" applyBorder="1"/>
    <xf numFmtId="169" fontId="3" fillId="0" borderId="3" xfId="0" applyNumberFormat="1" applyFont="1" applyBorder="1" applyAlignment="1">
      <alignment horizontal="right"/>
    </xf>
    <xf numFmtId="169" fontId="3" fillId="0" borderId="0" xfId="0" applyNumberFormat="1" applyFont="1" applyBorder="1" applyAlignment="1">
      <alignment horizontal="right"/>
    </xf>
    <xf numFmtId="3" fontId="3" fillId="0" borderId="21" xfId="1" applyNumberFormat="1" applyFont="1" applyBorder="1"/>
    <xf numFmtId="2" fontId="3" fillId="0" borderId="9" xfId="0" applyNumberFormat="1" applyFont="1" applyBorder="1"/>
    <xf numFmtId="2" fontId="3" fillId="0" borderId="3" xfId="0" applyNumberFormat="1" applyFont="1" applyBorder="1"/>
    <xf numFmtId="164" fontId="3" fillId="0" borderId="19" xfId="0" applyNumberFormat="1" applyFont="1" applyBorder="1"/>
    <xf numFmtId="164" fontId="3" fillId="0" borderId="0" xfId="0" applyNumberFormat="1" applyFont="1" applyBorder="1"/>
    <xf numFmtId="169" fontId="3" fillId="0" borderId="19" xfId="0" applyNumberFormat="1" applyFont="1" applyBorder="1"/>
    <xf numFmtId="169" fontId="3" fillId="0" borderId="0" xfId="0" applyNumberFormat="1" applyFont="1" applyBorder="1"/>
    <xf numFmtId="164" fontId="1" fillId="0" borderId="0" xfId="0" quotePrefix="1" applyNumberFormat="1" applyFont="1" applyAlignment="1">
      <alignment horizontal="left"/>
    </xf>
    <xf numFmtId="164" fontId="1" fillId="0" borderId="0" xfId="0" applyNumberFormat="1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/>
    <xf numFmtId="0" fontId="1" fillId="0" borderId="0" xfId="0" quotePrefix="1" applyFont="1" applyAlignment="1">
      <alignment horizontal="right"/>
    </xf>
    <xf numFmtId="0" fontId="1" fillId="0" borderId="0" xfId="0" quotePrefix="1" applyFont="1" applyAlignment="1"/>
    <xf numFmtId="0" fontId="1" fillId="0" borderId="22" xfId="0" applyFont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13" fontId="0" fillId="0" borderId="0" xfId="0" applyNumberFormat="1"/>
    <xf numFmtId="165" fontId="1" fillId="0" borderId="0" xfId="0" applyNumberFormat="1" applyFont="1"/>
    <xf numFmtId="0" fontId="1" fillId="0" borderId="0" xfId="0" applyFont="1" applyBorder="1" applyAlignment="1">
      <alignment horizontal="left"/>
    </xf>
    <xf numFmtId="0" fontId="1" fillId="0" borderId="3" xfId="0" applyFont="1" applyBorder="1"/>
    <xf numFmtId="0" fontId="1" fillId="0" borderId="22" xfId="0" applyFont="1" applyBorder="1" applyAlignment="1"/>
    <xf numFmtId="0" fontId="1" fillId="0" borderId="23" xfId="0" applyFont="1" applyBorder="1" applyAlignment="1">
      <alignment horizontal="center"/>
    </xf>
    <xf numFmtId="0" fontId="3" fillId="0" borderId="3" xfId="0" applyFont="1" applyBorder="1"/>
    <xf numFmtId="0" fontId="3" fillId="0" borderId="3" xfId="0" quotePrefix="1" applyFont="1" applyBorder="1" applyAlignment="1">
      <alignment horizontal="left"/>
    </xf>
    <xf numFmtId="2" fontId="0" fillId="4" borderId="3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164" fontId="0" fillId="4" borderId="20" xfId="0" applyNumberFormat="1" applyFill="1" applyBorder="1" applyAlignment="1">
      <alignment horizontal="center"/>
    </xf>
    <xf numFmtId="164" fontId="0" fillId="4" borderId="21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2" fontId="0" fillId="4" borderId="20" xfId="0" applyNumberFormat="1" applyFill="1" applyBorder="1" applyAlignment="1">
      <alignment horizontal="center"/>
    </xf>
    <xf numFmtId="2" fontId="0" fillId="4" borderId="21" xfId="0" applyNumberForma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9" xfId="0" applyFill="1" applyBorder="1"/>
    <xf numFmtId="0" fontId="0" fillId="4" borderId="0" xfId="0" applyFill="1" applyBorder="1"/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1" fillId="0" borderId="27" xfId="0" quotePrefix="1" applyFont="1" applyBorder="1" applyAlignment="1">
      <alignment horizontal="left"/>
    </xf>
    <xf numFmtId="0" fontId="1" fillId="0" borderId="25" xfId="0" quotePrefix="1" applyFont="1" applyBorder="1" applyAlignment="1">
      <alignment horizontal="left"/>
    </xf>
    <xf numFmtId="0" fontId="1" fillId="0" borderId="28" xfId="0" quotePrefix="1" applyFont="1" applyBorder="1" applyAlignment="1">
      <alignment horizontal="left"/>
    </xf>
    <xf numFmtId="0" fontId="1" fillId="0" borderId="29" xfId="0" applyFont="1" applyBorder="1"/>
    <xf numFmtId="1" fontId="0" fillId="4" borderId="17" xfId="0" applyNumberForma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1" fillId="0" borderId="32" xfId="0" quotePrefix="1" applyFont="1" applyBorder="1" applyAlignment="1">
      <alignment horizontal="center"/>
    </xf>
    <xf numFmtId="0" fontId="1" fillId="0" borderId="33" xfId="0" quotePrefix="1" applyFont="1" applyBorder="1" applyAlignment="1">
      <alignment horizontal="center"/>
    </xf>
    <xf numFmtId="0" fontId="1" fillId="0" borderId="34" xfId="0" quotePrefix="1" applyFon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3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1" fillId="0" borderId="35" xfId="0" quotePrefix="1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0" fillId="0" borderId="39" xfId="0" applyBorder="1"/>
    <xf numFmtId="0" fontId="1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1" fillId="0" borderId="43" xfId="0" quotePrefix="1" applyFont="1" applyBorder="1" applyAlignment="1">
      <alignment horizontal="center"/>
    </xf>
    <xf numFmtId="165" fontId="0" fillId="0" borderId="33" xfId="0" applyNumberFormat="1" applyBorder="1"/>
    <xf numFmtId="165" fontId="0" fillId="0" borderId="34" xfId="0" applyNumberFormat="1" applyBorder="1"/>
    <xf numFmtId="0" fontId="1" fillId="0" borderId="0" xfId="0" quotePrefix="1" applyFont="1" applyFill="1" applyBorder="1" applyAlignment="1">
      <alignment horizontal="left"/>
    </xf>
    <xf numFmtId="11" fontId="3" fillId="0" borderId="9" xfId="0" applyNumberFormat="1" applyFont="1" applyBorder="1"/>
    <xf numFmtId="11" fontId="3" fillId="0" borderId="3" xfId="0" applyNumberFormat="1" applyFont="1" applyBorder="1"/>
    <xf numFmtId="11" fontId="3" fillId="0" borderId="19" xfId="0" applyNumberFormat="1" applyFont="1" applyBorder="1"/>
    <xf numFmtId="11" fontId="3" fillId="0" borderId="0" xfId="0" applyNumberFormat="1" applyFont="1" applyBorder="1"/>
    <xf numFmtId="167" fontId="3" fillId="0" borderId="9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right"/>
    </xf>
    <xf numFmtId="167" fontId="3" fillId="0" borderId="19" xfId="0" applyNumberFormat="1" applyFont="1" applyBorder="1" applyAlignment="1">
      <alignment horizontal="right"/>
    </xf>
    <xf numFmtId="0" fontId="3" fillId="0" borderId="0" xfId="0" quotePrefix="1" applyFont="1" applyFill="1" applyBorder="1" applyAlignment="1">
      <alignment horizontal="center"/>
    </xf>
    <xf numFmtId="2" fontId="1" fillId="0" borderId="0" xfId="0" quotePrefix="1" applyNumberFormat="1" applyFont="1"/>
    <xf numFmtId="0" fontId="3" fillId="0" borderId="0" xfId="0" applyFont="1" applyAlignment="1">
      <alignment horizontal="left"/>
    </xf>
    <xf numFmtId="170" fontId="0" fillId="0" borderId="0" xfId="0" applyNumberFormat="1"/>
    <xf numFmtId="11" fontId="1" fillId="0" borderId="0" xfId="0" applyNumberFormat="1" applyFont="1"/>
    <xf numFmtId="164" fontId="3" fillId="0" borderId="0" xfId="0" applyNumberFormat="1" applyFont="1"/>
    <xf numFmtId="0" fontId="1" fillId="0" borderId="22" xfId="0" applyFont="1" applyBorder="1" applyAlignment="1">
      <alignment horizontal="center" wrapText="1"/>
    </xf>
    <xf numFmtId="0" fontId="1" fillId="0" borderId="23" xfId="0" applyFont="1" applyBorder="1" applyAlignment="1">
      <alignment horizontal="center" wrapText="1"/>
    </xf>
    <xf numFmtId="0" fontId="10" fillId="0" borderId="0" xfId="0" applyFont="1"/>
    <xf numFmtId="0" fontId="1" fillId="0" borderId="0" xfId="0" applyFont="1" applyAlignment="1">
      <alignment horizontal="right"/>
    </xf>
    <xf numFmtId="0" fontId="1" fillId="0" borderId="44" xfId="0" applyFont="1" applyBorder="1" applyAlignment="1"/>
    <xf numFmtId="0" fontId="0" fillId="3" borderId="28" xfId="0" applyFill="1" applyBorder="1" applyAlignment="1">
      <alignment horizontal="center"/>
    </xf>
    <xf numFmtId="164" fontId="1" fillId="0" borderId="19" xfId="0" applyNumberFormat="1" applyFont="1" applyBorder="1"/>
    <xf numFmtId="164" fontId="1" fillId="0" borderId="8" xfId="0" applyNumberFormat="1" applyFont="1" applyBorder="1"/>
    <xf numFmtId="164" fontId="1" fillId="0" borderId="0" xfId="0" applyNumberFormat="1" applyFont="1" applyBorder="1"/>
    <xf numFmtId="164" fontId="1" fillId="0" borderId="7" xfId="0" applyNumberFormat="1" applyFont="1" applyBorder="1"/>
    <xf numFmtId="0" fontId="1" fillId="0" borderId="45" xfId="0" applyFont="1" applyBorder="1" applyAlignment="1">
      <alignment horizontal="center"/>
    </xf>
    <xf numFmtId="0" fontId="1" fillId="0" borderId="46" xfId="0" applyFont="1" applyBorder="1"/>
    <xf numFmtId="0" fontId="3" fillId="0" borderId="16" xfId="0" quotePrefix="1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11" fontId="0" fillId="4" borderId="0" xfId="0" applyNumberFormat="1" applyFill="1" applyBorder="1"/>
    <xf numFmtId="0" fontId="15" fillId="0" borderId="0" xfId="0" quotePrefix="1" applyFont="1" applyAlignment="1">
      <alignment horizontal="left"/>
    </xf>
    <xf numFmtId="0" fontId="16" fillId="0" borderId="0" xfId="0" applyFont="1"/>
    <xf numFmtId="0" fontId="17" fillId="0" borderId="0" xfId="0" applyFon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Continuous" wrapText="1"/>
    </xf>
    <xf numFmtId="0" fontId="18" fillId="0" borderId="0" xfId="2" applyFont="1" applyAlignment="1" applyProtection="1"/>
    <xf numFmtId="164" fontId="16" fillId="0" borderId="0" xfId="0" applyNumberFormat="1" applyFont="1"/>
    <xf numFmtId="49" fontId="16" fillId="0" borderId="0" xfId="0" applyNumberFormat="1" applyFont="1"/>
    <xf numFmtId="0" fontId="16" fillId="0" borderId="47" xfId="0" applyFont="1" applyBorder="1" applyAlignment="1">
      <alignment horizontal="centerContinuous"/>
    </xf>
    <xf numFmtId="0" fontId="16" fillId="0" borderId="15" xfId="0" applyFont="1" applyBorder="1" applyAlignment="1">
      <alignment horizontal="centerContinuous"/>
    </xf>
    <xf numFmtId="0" fontId="16" fillId="0" borderId="27" xfId="0" applyFont="1" applyBorder="1"/>
    <xf numFmtId="0" fontId="16" fillId="0" borderId="31" xfId="0" applyFont="1" applyBorder="1"/>
    <xf numFmtId="0" fontId="16" fillId="0" borderId="28" xfId="0" applyFont="1" applyBorder="1"/>
    <xf numFmtId="0" fontId="16" fillId="0" borderId="13" xfId="0" applyFont="1" applyBorder="1"/>
    <xf numFmtId="0" fontId="16" fillId="0" borderId="29" xfId="0" applyFont="1" applyBorder="1"/>
    <xf numFmtId="0" fontId="16" fillId="0" borderId="18" xfId="0" applyFont="1" applyBorder="1"/>
    <xf numFmtId="0" fontId="16" fillId="0" borderId="16" xfId="0" applyFont="1" applyBorder="1"/>
    <xf numFmtId="0" fontId="16" fillId="0" borderId="0" xfId="0" applyFont="1" applyAlignment="1">
      <alignment horizontal="center"/>
    </xf>
    <xf numFmtId="0" fontId="16" fillId="0" borderId="47" xfId="0" applyFont="1" applyBorder="1"/>
    <xf numFmtId="0" fontId="16" fillId="0" borderId="14" xfId="0" applyFont="1" applyBorder="1" applyAlignment="1">
      <alignment horizontal="centerContinuous"/>
    </xf>
    <xf numFmtId="0" fontId="16" fillId="0" borderId="47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164" fontId="16" fillId="0" borderId="30" xfId="0" applyNumberFormat="1" applyFont="1" applyBorder="1"/>
    <xf numFmtId="164" fontId="16" fillId="0" borderId="31" xfId="0" applyNumberFormat="1" applyFont="1" applyBorder="1"/>
    <xf numFmtId="0" fontId="16" fillId="0" borderId="25" xfId="0" applyFont="1" applyBorder="1"/>
    <xf numFmtId="164" fontId="16" fillId="0" borderId="0" xfId="0" applyNumberFormat="1" applyFont="1" applyBorder="1"/>
    <xf numFmtId="164" fontId="16" fillId="0" borderId="7" xfId="0" applyNumberFormat="1" applyFont="1" applyBorder="1"/>
    <xf numFmtId="164" fontId="16" fillId="0" borderId="12" xfId="0" applyNumberFormat="1" applyFont="1" applyBorder="1"/>
    <xf numFmtId="164" fontId="16" fillId="0" borderId="13" xfId="0" applyNumberFormat="1" applyFont="1" applyBorder="1"/>
    <xf numFmtId="164" fontId="16" fillId="0" borderId="29" xfId="0" applyNumberFormat="1" applyFont="1" applyBorder="1"/>
    <xf numFmtId="164" fontId="16" fillId="0" borderId="17" xfId="0" applyNumberFormat="1" applyFont="1" applyBorder="1"/>
    <xf numFmtId="164" fontId="16" fillId="0" borderId="18" xfId="0" applyNumberFormat="1" applyFont="1" applyBorder="1"/>
    <xf numFmtId="0" fontId="16" fillId="0" borderId="14" xfId="0" applyFont="1" applyBorder="1" applyAlignment="1">
      <alignment horizontal="center" wrapText="1"/>
    </xf>
    <xf numFmtId="0" fontId="16" fillId="0" borderId="15" xfId="0" applyFont="1" applyBorder="1" applyAlignment="1">
      <alignment horizontal="center" wrapText="1"/>
    </xf>
    <xf numFmtId="164" fontId="16" fillId="0" borderId="27" xfId="0" applyNumberFormat="1" applyFont="1" applyBorder="1"/>
    <xf numFmtId="164" fontId="16" fillId="0" borderId="25" xfId="0" applyNumberFormat="1" applyFont="1" applyBorder="1"/>
    <xf numFmtId="164" fontId="16" fillId="0" borderId="28" xfId="0" applyNumberFormat="1" applyFont="1" applyBorder="1"/>
    <xf numFmtId="0" fontId="16" fillId="0" borderId="47" xfId="0" applyFont="1" applyBorder="1" applyAlignment="1">
      <alignment horizontal="centerContinuous" wrapText="1"/>
    </xf>
    <xf numFmtId="0" fontId="19" fillId="5" borderId="31" xfId="0" applyFont="1" applyFill="1" applyBorder="1" applyAlignment="1">
      <alignment horizontal="center" vertical="top" wrapText="1"/>
    </xf>
    <xf numFmtId="0" fontId="19" fillId="5" borderId="7" xfId="0" applyFont="1" applyFill="1" applyBorder="1" applyAlignment="1">
      <alignment horizontal="center" vertical="top" wrapText="1"/>
    </xf>
    <xf numFmtId="0" fontId="19" fillId="5" borderId="13" xfId="0" applyFont="1" applyFill="1" applyBorder="1" applyAlignment="1">
      <alignment horizontal="center" vertical="top" wrapText="1"/>
    </xf>
    <xf numFmtId="0" fontId="16" fillId="0" borderId="16" xfId="0" applyFont="1" applyBorder="1" applyAlignment="1">
      <alignment horizontal="center"/>
    </xf>
    <xf numFmtId="0" fontId="19" fillId="5" borderId="29" xfId="0" applyFont="1" applyFill="1" applyBorder="1" applyAlignment="1">
      <alignment horizontal="center" vertical="top" wrapText="1"/>
    </xf>
    <xf numFmtId="0" fontId="19" fillId="5" borderId="17" xfId="0" applyFont="1" applyFill="1" applyBorder="1" applyAlignment="1">
      <alignment horizontal="center" vertical="top" wrapText="1"/>
    </xf>
    <xf numFmtId="0" fontId="19" fillId="5" borderId="18" xfId="0" applyFont="1" applyFill="1" applyBorder="1" applyAlignment="1">
      <alignment horizontal="center" vertical="top" wrapText="1"/>
    </xf>
    <xf numFmtId="0" fontId="19" fillId="6" borderId="17" xfId="0" applyFont="1" applyFill="1" applyBorder="1" applyAlignment="1">
      <alignment horizontal="center" vertical="top" wrapText="1"/>
    </xf>
    <xf numFmtId="0" fontId="19" fillId="6" borderId="7" xfId="0" applyFont="1" applyFill="1" applyBorder="1" applyAlignment="1">
      <alignment horizontal="center" vertical="top" wrapText="1"/>
    </xf>
    <xf numFmtId="0" fontId="19" fillId="6" borderId="0" xfId="0" applyFont="1" applyFill="1" applyBorder="1" applyAlignment="1">
      <alignment horizontal="center" vertical="top" wrapText="1"/>
    </xf>
    <xf numFmtId="0" fontId="19" fillId="6" borderId="16" xfId="0" applyFont="1" applyFill="1" applyBorder="1" applyAlignment="1">
      <alignment horizontal="center" vertical="top" wrapText="1"/>
    </xf>
    <xf numFmtId="0" fontId="19" fillId="6" borderId="15" xfId="0" applyFont="1" applyFill="1" applyBorder="1" applyAlignment="1">
      <alignment horizontal="center" vertical="top" wrapText="1"/>
    </xf>
    <xf numFmtId="0" fontId="19" fillId="6" borderId="0" xfId="0" applyFont="1" applyFill="1" applyBorder="1" applyAlignment="1">
      <alignment horizontal="left" vertical="top"/>
    </xf>
    <xf numFmtId="0" fontId="3" fillId="0" borderId="3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64" fontId="3" fillId="0" borderId="27" xfId="0" applyNumberFormat="1" applyFont="1" applyBorder="1"/>
    <xf numFmtId="0" fontId="0" fillId="0" borderId="31" xfId="0" applyBorder="1"/>
    <xf numFmtId="164" fontId="3" fillId="0" borderId="25" xfId="0" applyNumberFormat="1" applyFont="1" applyBorder="1"/>
    <xf numFmtId="164" fontId="3" fillId="0" borderId="28" xfId="0" applyNumberFormat="1" applyFont="1" applyBorder="1"/>
    <xf numFmtId="171" fontId="0" fillId="4" borderId="9" xfId="0" applyNumberFormat="1" applyFill="1" applyBorder="1" applyAlignment="1">
      <alignment horizontal="center"/>
    </xf>
    <xf numFmtId="171" fontId="0" fillId="4" borderId="3" xfId="0" applyNumberFormat="1" applyFill="1" applyBorder="1" applyAlignment="1">
      <alignment horizontal="center"/>
    </xf>
    <xf numFmtId="171" fontId="0" fillId="4" borderId="19" xfId="0" applyNumberFormat="1" applyFill="1" applyBorder="1"/>
    <xf numFmtId="171" fontId="0" fillId="4" borderId="0" xfId="0" applyNumberFormat="1" applyFill="1" applyBorder="1"/>
    <xf numFmtId="164" fontId="1" fillId="0" borderId="0" xfId="0" quotePrefix="1" applyNumberFormat="1" applyFont="1" applyAlignment="1">
      <alignment horizontal="right"/>
    </xf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quotePrefix="1" applyFont="1" applyAlignment="1">
      <alignment horizontal="left"/>
    </xf>
    <xf numFmtId="0" fontId="13" fillId="0" borderId="0" xfId="0" applyFont="1" applyAlignment="1">
      <alignment horizontal="left"/>
    </xf>
    <xf numFmtId="0" fontId="3" fillId="0" borderId="29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center"/>
    </xf>
    <xf numFmtId="0" fontId="3" fillId="0" borderId="18" xfId="0" quotePrefix="1" applyFont="1" applyFill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3" borderId="14" xfId="0" applyFill="1" applyBorder="1" applyAlignment="1">
      <alignment horizontal="right"/>
    </xf>
    <xf numFmtId="0" fontId="0" fillId="3" borderId="47" xfId="0" applyFill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0" fillId="0" borderId="28" xfId="0" applyBorder="1"/>
    <xf numFmtId="2" fontId="0" fillId="0" borderId="12" xfId="0" applyNumberFormat="1" applyBorder="1"/>
    <xf numFmtId="2" fontId="0" fillId="0" borderId="13" xfId="0" applyNumberFormat="1" applyBorder="1"/>
    <xf numFmtId="168" fontId="0" fillId="0" borderId="27" xfId="0" applyNumberFormat="1" applyBorder="1" applyAlignment="1">
      <alignment horizontal="right"/>
    </xf>
    <xf numFmtId="168" fontId="0" fillId="0" borderId="30" xfId="0" applyNumberFormat="1" applyBorder="1" applyAlignment="1">
      <alignment horizontal="right"/>
    </xf>
    <xf numFmtId="168" fontId="0" fillId="0" borderId="31" xfId="0" applyNumberFormat="1" applyBorder="1" applyAlignment="1">
      <alignment horizontal="right"/>
    </xf>
    <xf numFmtId="168" fontId="0" fillId="0" borderId="25" xfId="0" applyNumberFormat="1" applyBorder="1"/>
    <xf numFmtId="168" fontId="0" fillId="0" borderId="0" xfId="0" applyNumberFormat="1" applyBorder="1"/>
    <xf numFmtId="168" fontId="0" fillId="0" borderId="7" xfId="0" applyNumberFormat="1" applyBorder="1"/>
    <xf numFmtId="168" fontId="0" fillId="0" borderId="28" xfId="0" applyNumberFormat="1" applyBorder="1"/>
    <xf numFmtId="168" fontId="0" fillId="0" borderId="12" xfId="0" applyNumberFormat="1" applyBorder="1"/>
    <xf numFmtId="168" fontId="0" fillId="0" borderId="13" xfId="0" applyNumberFormat="1" applyBorder="1"/>
    <xf numFmtId="0" fontId="0" fillId="3" borderId="27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2" fontId="3" fillId="0" borderId="48" xfId="0" applyNumberFormat="1" applyFont="1" applyBorder="1"/>
    <xf numFmtId="0" fontId="0" fillId="3" borderId="30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2" fontId="3" fillId="0" borderId="20" xfId="0" applyNumberFormat="1" applyFont="1" applyBorder="1"/>
    <xf numFmtId="164" fontId="3" fillId="0" borderId="21" xfId="0" applyNumberFormat="1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2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0" xfId="0" applyFont="1" applyAlignment="1">
      <alignment horizontal="right"/>
    </xf>
    <xf numFmtId="0" fontId="1" fillId="0" borderId="47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0" borderId="5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'Q1'!$C$2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'Q1'!$B$4:$B$25</c:f>
              <c:numCache>
                <c:formatCode>General</c:formatCode>
                <c:ptCount val="22"/>
                <c:pt idx="0">
                  <c:v>1963</c:v>
                </c:pt>
                <c:pt idx="1">
                  <c:v>1974</c:v>
                </c:pt>
                <c:pt idx="2">
                  <c:v>1981</c:v>
                </c:pt>
                <c:pt idx="3">
                  <c:v>1984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'Q1'!$C$4:$C$25</c:f>
              <c:numCache>
                <c:formatCode>General</c:formatCode>
                <c:ptCount val="22"/>
                <c:pt idx="0">
                  <c:v>487</c:v>
                </c:pt>
                <c:pt idx="1">
                  <c:v>791</c:v>
                </c:pt>
                <c:pt idx="2">
                  <c:v>1188</c:v>
                </c:pt>
                <c:pt idx="3">
                  <c:v>1757</c:v>
                </c:pt>
                <c:pt idx="4">
                  <c:v>1875</c:v>
                </c:pt>
                <c:pt idx="5">
                  <c:v>2238</c:v>
                </c:pt>
                <c:pt idx="6">
                  <c:v>2475</c:v>
                </c:pt>
                <c:pt idx="7">
                  <c:v>2680</c:v>
                </c:pt>
                <c:pt idx="8">
                  <c:v>3035</c:v>
                </c:pt>
                <c:pt idx="9">
                  <c:v>3399</c:v>
                </c:pt>
                <c:pt idx="10">
                  <c:v>3749</c:v>
                </c:pt>
                <c:pt idx="11">
                  <c:v>4015</c:v>
                </c:pt>
                <c:pt idx="12">
                  <c:v>4449</c:v>
                </c:pt>
                <c:pt idx="13">
                  <c:v>4712</c:v>
                </c:pt>
                <c:pt idx="14">
                  <c:v>5094</c:v>
                </c:pt>
                <c:pt idx="15">
                  <c:v>5295</c:v>
                </c:pt>
                <c:pt idx="16">
                  <c:v>5748</c:v>
                </c:pt>
                <c:pt idx="17">
                  <c:v>6404</c:v>
                </c:pt>
                <c:pt idx="18">
                  <c:v>6471</c:v>
                </c:pt>
                <c:pt idx="19">
                  <c:v>7066</c:v>
                </c:pt>
                <c:pt idx="20">
                  <c:v>9789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E-42A8-A613-8084B818A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68312"/>
        <c:axId val="469268640"/>
      </c:scatterChart>
      <c:valAx>
        <c:axId val="46926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68640"/>
        <c:crosses val="autoZero"/>
        <c:crossBetween val="midCat"/>
      </c:valAx>
      <c:valAx>
        <c:axId val="4692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6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12BF07B7-CECC-457D-90D0-4EC4A377A18A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commute time,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'Q2'!$C$3:$C$106</c:f>
              <c:numCache>
                <c:formatCode>General</c:formatCode>
                <c:ptCount val="104"/>
                <c:pt idx="0">
                  <c:v>338115</c:v>
                </c:pt>
                <c:pt idx="1">
                  <c:v>459843</c:v>
                </c:pt>
                <c:pt idx="2">
                  <c:v>408822</c:v>
                </c:pt>
                <c:pt idx="3">
                  <c:v>377918</c:v>
                </c:pt>
                <c:pt idx="4">
                  <c:v>2813125</c:v>
                </c:pt>
                <c:pt idx="5">
                  <c:v>251625</c:v>
                </c:pt>
                <c:pt idx="6">
                  <c:v>1094341</c:v>
                </c:pt>
                <c:pt idx="7">
                  <c:v>338485</c:v>
                </c:pt>
                <c:pt idx="8">
                  <c:v>1386285</c:v>
                </c:pt>
                <c:pt idx="9">
                  <c:v>389028</c:v>
                </c:pt>
                <c:pt idx="10">
                  <c:v>509902</c:v>
                </c:pt>
                <c:pt idx="11">
                  <c:v>322913</c:v>
                </c:pt>
                <c:pt idx="12">
                  <c:v>2713477</c:v>
                </c:pt>
                <c:pt idx="13">
                  <c:v>480143</c:v>
                </c:pt>
                <c:pt idx="14">
                  <c:v>538371</c:v>
                </c:pt>
                <c:pt idx="15">
                  <c:v>285139</c:v>
                </c:pt>
                <c:pt idx="16">
                  <c:v>365394</c:v>
                </c:pt>
                <c:pt idx="17">
                  <c:v>1217715</c:v>
                </c:pt>
                <c:pt idx="18">
                  <c:v>258558</c:v>
                </c:pt>
                <c:pt idx="19">
                  <c:v>4678362</c:v>
                </c:pt>
                <c:pt idx="20">
                  <c:v>1058005</c:v>
                </c:pt>
                <c:pt idx="21">
                  <c:v>1018031</c:v>
                </c:pt>
                <c:pt idx="22">
                  <c:v>342792</c:v>
                </c:pt>
                <c:pt idx="23">
                  <c:v>398787</c:v>
                </c:pt>
                <c:pt idx="24">
                  <c:v>1043492</c:v>
                </c:pt>
                <c:pt idx="25">
                  <c:v>3587499</c:v>
                </c:pt>
                <c:pt idx="26">
                  <c:v>386283</c:v>
                </c:pt>
                <c:pt idx="27">
                  <c:v>1507985</c:v>
                </c:pt>
                <c:pt idx="28">
                  <c:v>346177</c:v>
                </c:pt>
                <c:pt idx="29">
                  <c:v>1980849</c:v>
                </c:pt>
                <c:pt idx="30">
                  <c:v>317916</c:v>
                </c:pt>
                <c:pt idx="31">
                  <c:v>362178</c:v>
                </c:pt>
                <c:pt idx="32">
                  <c:v>251616</c:v>
                </c:pt>
                <c:pt idx="33">
                  <c:v>380245</c:v>
                </c:pt>
                <c:pt idx="34">
                  <c:v>542448</c:v>
                </c:pt>
                <c:pt idx="35">
                  <c:v>365706</c:v>
                </c:pt>
                <c:pt idx="36">
                  <c:v>412437</c:v>
                </c:pt>
                <c:pt idx="37">
                  <c:v>327202</c:v>
                </c:pt>
                <c:pt idx="38">
                  <c:v>643153</c:v>
                </c:pt>
                <c:pt idx="39">
                  <c:v>3165110</c:v>
                </c:pt>
                <c:pt idx="40">
                  <c:v>995220</c:v>
                </c:pt>
                <c:pt idx="41">
                  <c:v>265199</c:v>
                </c:pt>
                <c:pt idx="42">
                  <c:v>702461</c:v>
                </c:pt>
                <c:pt idx="43">
                  <c:v>1073348</c:v>
                </c:pt>
                <c:pt idx="44">
                  <c:v>400618</c:v>
                </c:pt>
                <c:pt idx="45">
                  <c:v>253994</c:v>
                </c:pt>
                <c:pt idx="46">
                  <c:v>257194</c:v>
                </c:pt>
                <c:pt idx="47">
                  <c:v>239001</c:v>
                </c:pt>
                <c:pt idx="48">
                  <c:v>1002920</c:v>
                </c:pt>
                <c:pt idx="49">
                  <c:v>279525</c:v>
                </c:pt>
                <c:pt idx="50">
                  <c:v>352277</c:v>
                </c:pt>
                <c:pt idx="51">
                  <c:v>6534086</c:v>
                </c:pt>
                <c:pt idx="52">
                  <c:v>641695</c:v>
                </c:pt>
                <c:pt idx="53">
                  <c:v>388286</c:v>
                </c:pt>
                <c:pt idx="54">
                  <c:v>297714</c:v>
                </c:pt>
                <c:pt idx="55">
                  <c:v>616476</c:v>
                </c:pt>
                <c:pt idx="56">
                  <c:v>2879728</c:v>
                </c:pt>
                <c:pt idx="57">
                  <c:v>817990</c:v>
                </c:pt>
                <c:pt idx="58">
                  <c:v>1919130</c:v>
                </c:pt>
                <c:pt idx="59">
                  <c:v>968587</c:v>
                </c:pt>
                <c:pt idx="60">
                  <c:v>388881</c:v>
                </c:pt>
                <c:pt idx="61">
                  <c:v>610399</c:v>
                </c:pt>
                <c:pt idx="62">
                  <c:v>9769460</c:v>
                </c:pt>
                <c:pt idx="63">
                  <c:v>312492</c:v>
                </c:pt>
                <c:pt idx="64">
                  <c:v>248415</c:v>
                </c:pt>
                <c:pt idx="65">
                  <c:v>653773</c:v>
                </c:pt>
                <c:pt idx="66">
                  <c:v>476423</c:v>
                </c:pt>
                <c:pt idx="67">
                  <c:v>1213874</c:v>
                </c:pt>
                <c:pt idx="68">
                  <c:v>374613</c:v>
                </c:pt>
                <c:pt idx="69">
                  <c:v>2862712</c:v>
                </c:pt>
                <c:pt idx="70">
                  <c:v>2104781</c:v>
                </c:pt>
                <c:pt idx="71">
                  <c:v>1145218</c:v>
                </c:pt>
                <c:pt idx="72">
                  <c:v>273656</c:v>
                </c:pt>
                <c:pt idx="73">
                  <c:v>1215921</c:v>
                </c:pt>
                <c:pt idx="74">
                  <c:v>717627</c:v>
                </c:pt>
                <c:pt idx="75">
                  <c:v>253053</c:v>
                </c:pt>
                <c:pt idx="76">
                  <c:v>651332</c:v>
                </c:pt>
                <c:pt idx="77">
                  <c:v>640788</c:v>
                </c:pt>
                <c:pt idx="78">
                  <c:v>1620284</c:v>
                </c:pt>
                <c:pt idx="79">
                  <c:v>520446</c:v>
                </c:pt>
                <c:pt idx="80">
                  <c:v>1012873</c:v>
                </c:pt>
                <c:pt idx="81">
                  <c:v>680498</c:v>
                </c:pt>
                <c:pt idx="82">
                  <c:v>1101898</c:v>
                </c:pt>
                <c:pt idx="83">
                  <c:v>1645897</c:v>
                </c:pt>
                <c:pt idx="84">
                  <c:v>2410269</c:v>
                </c:pt>
                <c:pt idx="85">
                  <c:v>1087658</c:v>
                </c:pt>
                <c:pt idx="86">
                  <c:v>236464</c:v>
                </c:pt>
                <c:pt idx="87">
                  <c:v>253081</c:v>
                </c:pt>
                <c:pt idx="88">
                  <c:v>1989476</c:v>
                </c:pt>
                <c:pt idx="89">
                  <c:v>255636</c:v>
                </c:pt>
                <c:pt idx="90">
                  <c:v>287678</c:v>
                </c:pt>
                <c:pt idx="91">
                  <c:v>1386219</c:v>
                </c:pt>
                <c:pt idx="92">
                  <c:v>264518</c:v>
                </c:pt>
                <c:pt idx="93">
                  <c:v>312879</c:v>
                </c:pt>
                <c:pt idx="94">
                  <c:v>1351854</c:v>
                </c:pt>
                <c:pt idx="95">
                  <c:v>307689</c:v>
                </c:pt>
                <c:pt idx="96">
                  <c:v>430233</c:v>
                </c:pt>
                <c:pt idx="97">
                  <c:v>457298</c:v>
                </c:pt>
                <c:pt idx="98">
                  <c:v>506544</c:v>
                </c:pt>
                <c:pt idx="99">
                  <c:v>872526</c:v>
                </c:pt>
                <c:pt idx="100">
                  <c:v>3402169</c:v>
                </c:pt>
                <c:pt idx="101">
                  <c:v>309187</c:v>
                </c:pt>
                <c:pt idx="102">
                  <c:v>277565</c:v>
                </c:pt>
                <c:pt idx="103">
                  <c:v>403207</c:v>
                </c:pt>
              </c:numCache>
            </c:numRef>
          </c:xVal>
          <c:yVal>
            <c:numRef>
              <c:f>'Q2'!$D$3:$D$106</c:f>
              <c:numCache>
                <c:formatCode>General</c:formatCode>
                <c:ptCount val="104"/>
                <c:pt idx="0">
                  <c:v>22.9</c:v>
                </c:pt>
                <c:pt idx="1">
                  <c:v>24.5</c:v>
                </c:pt>
                <c:pt idx="2">
                  <c:v>23.2</c:v>
                </c:pt>
                <c:pt idx="3">
                  <c:v>24.6</c:v>
                </c:pt>
                <c:pt idx="4">
                  <c:v>32.4</c:v>
                </c:pt>
                <c:pt idx="5">
                  <c:v>24.2</c:v>
                </c:pt>
                <c:pt idx="6">
                  <c:v>27</c:v>
                </c:pt>
                <c:pt idx="7">
                  <c:v>23.6</c:v>
                </c:pt>
                <c:pt idx="8">
                  <c:v>30.1</c:v>
                </c:pt>
                <c:pt idx="9">
                  <c:v>27.5</c:v>
                </c:pt>
                <c:pt idx="10">
                  <c:v>26.1</c:v>
                </c:pt>
                <c:pt idx="11">
                  <c:v>22.1</c:v>
                </c:pt>
                <c:pt idx="12">
                  <c:v>32.700000000000003</c:v>
                </c:pt>
                <c:pt idx="13">
                  <c:v>27.7</c:v>
                </c:pt>
                <c:pt idx="14">
                  <c:v>22</c:v>
                </c:pt>
                <c:pt idx="15">
                  <c:v>26.3</c:v>
                </c:pt>
                <c:pt idx="16">
                  <c:v>26.2</c:v>
                </c:pt>
                <c:pt idx="17">
                  <c:v>27.1</c:v>
                </c:pt>
                <c:pt idx="18">
                  <c:v>24.7</c:v>
                </c:pt>
                <c:pt idx="19">
                  <c:v>32</c:v>
                </c:pt>
                <c:pt idx="20">
                  <c:v>25.2</c:v>
                </c:pt>
                <c:pt idx="21">
                  <c:v>25.5</c:v>
                </c:pt>
                <c:pt idx="22">
                  <c:v>21.8</c:v>
                </c:pt>
                <c:pt idx="23">
                  <c:v>25</c:v>
                </c:pt>
                <c:pt idx="24">
                  <c:v>24.8</c:v>
                </c:pt>
                <c:pt idx="25">
                  <c:v>28.8</c:v>
                </c:pt>
                <c:pt idx="26">
                  <c:v>22.2</c:v>
                </c:pt>
                <c:pt idx="27">
                  <c:v>27.6</c:v>
                </c:pt>
                <c:pt idx="28">
                  <c:v>20.9</c:v>
                </c:pt>
                <c:pt idx="29">
                  <c:v>27.5</c:v>
                </c:pt>
                <c:pt idx="30">
                  <c:v>26.5</c:v>
                </c:pt>
                <c:pt idx="31">
                  <c:v>23</c:v>
                </c:pt>
                <c:pt idx="32">
                  <c:v>21.1</c:v>
                </c:pt>
                <c:pt idx="33">
                  <c:v>22.1</c:v>
                </c:pt>
                <c:pt idx="34">
                  <c:v>22.1</c:v>
                </c:pt>
                <c:pt idx="35">
                  <c:v>22.9</c:v>
                </c:pt>
                <c:pt idx="36">
                  <c:v>23.6</c:v>
                </c:pt>
                <c:pt idx="37">
                  <c:v>25.4</c:v>
                </c:pt>
                <c:pt idx="38">
                  <c:v>25.3</c:v>
                </c:pt>
                <c:pt idx="39">
                  <c:v>30.2</c:v>
                </c:pt>
                <c:pt idx="40">
                  <c:v>25.1</c:v>
                </c:pt>
                <c:pt idx="41">
                  <c:v>25.3</c:v>
                </c:pt>
                <c:pt idx="42">
                  <c:v>27.9</c:v>
                </c:pt>
                <c:pt idx="43">
                  <c:v>23.6</c:v>
                </c:pt>
                <c:pt idx="44">
                  <c:v>24.1</c:v>
                </c:pt>
                <c:pt idx="45">
                  <c:v>24.5</c:v>
                </c:pt>
                <c:pt idx="46">
                  <c:v>23.4</c:v>
                </c:pt>
                <c:pt idx="47">
                  <c:v>22.7</c:v>
                </c:pt>
                <c:pt idx="48">
                  <c:v>24.7</c:v>
                </c:pt>
                <c:pt idx="49">
                  <c:v>24.9</c:v>
                </c:pt>
                <c:pt idx="50">
                  <c:v>23.3</c:v>
                </c:pt>
                <c:pt idx="51">
                  <c:v>32</c:v>
                </c:pt>
                <c:pt idx="52">
                  <c:v>25.2</c:v>
                </c:pt>
                <c:pt idx="53">
                  <c:v>23.5</c:v>
                </c:pt>
                <c:pt idx="54">
                  <c:v>20.8</c:v>
                </c:pt>
                <c:pt idx="55">
                  <c:v>25.2</c:v>
                </c:pt>
                <c:pt idx="56">
                  <c:v>29.7</c:v>
                </c:pt>
                <c:pt idx="57">
                  <c:v>23.6</c:v>
                </c:pt>
                <c:pt idx="58">
                  <c:v>25.8</c:v>
                </c:pt>
                <c:pt idx="59">
                  <c:v>28.5</c:v>
                </c:pt>
                <c:pt idx="60">
                  <c:v>22.9</c:v>
                </c:pt>
                <c:pt idx="61">
                  <c:v>27.3</c:v>
                </c:pt>
                <c:pt idx="62">
                  <c:v>37.299999999999997</c:v>
                </c:pt>
                <c:pt idx="63">
                  <c:v>25.7</c:v>
                </c:pt>
                <c:pt idx="64">
                  <c:v>19.2</c:v>
                </c:pt>
                <c:pt idx="65">
                  <c:v>22.9</c:v>
                </c:pt>
                <c:pt idx="66">
                  <c:v>20.7</c:v>
                </c:pt>
                <c:pt idx="67">
                  <c:v>29.3</c:v>
                </c:pt>
                <c:pt idx="68">
                  <c:v>23.9</c:v>
                </c:pt>
                <c:pt idx="69">
                  <c:v>29.6</c:v>
                </c:pt>
                <c:pt idx="70">
                  <c:v>26.4</c:v>
                </c:pt>
                <c:pt idx="71">
                  <c:v>27.1</c:v>
                </c:pt>
                <c:pt idx="72">
                  <c:v>24.2</c:v>
                </c:pt>
                <c:pt idx="73">
                  <c:v>27.6</c:v>
                </c:pt>
                <c:pt idx="74">
                  <c:v>23.4</c:v>
                </c:pt>
                <c:pt idx="75">
                  <c:v>19.100000000000001</c:v>
                </c:pt>
                <c:pt idx="76">
                  <c:v>26.1</c:v>
                </c:pt>
                <c:pt idx="77">
                  <c:v>25.6</c:v>
                </c:pt>
                <c:pt idx="78">
                  <c:v>27.4</c:v>
                </c:pt>
                <c:pt idx="79">
                  <c:v>21.8</c:v>
                </c:pt>
                <c:pt idx="80">
                  <c:v>26.2</c:v>
                </c:pt>
                <c:pt idx="81">
                  <c:v>24.8</c:v>
                </c:pt>
                <c:pt idx="82">
                  <c:v>26.4</c:v>
                </c:pt>
                <c:pt idx="83">
                  <c:v>26.8</c:v>
                </c:pt>
                <c:pt idx="84">
                  <c:v>35.299999999999997</c:v>
                </c:pt>
                <c:pt idx="85">
                  <c:v>33</c:v>
                </c:pt>
                <c:pt idx="86">
                  <c:v>23.6</c:v>
                </c:pt>
                <c:pt idx="87">
                  <c:v>22</c:v>
                </c:pt>
                <c:pt idx="88">
                  <c:v>31.6</c:v>
                </c:pt>
                <c:pt idx="89">
                  <c:v>22.7</c:v>
                </c:pt>
                <c:pt idx="90">
                  <c:v>22</c:v>
                </c:pt>
                <c:pt idx="91">
                  <c:v>26.3</c:v>
                </c:pt>
                <c:pt idx="92">
                  <c:v>25.1</c:v>
                </c:pt>
                <c:pt idx="93">
                  <c:v>21.3</c:v>
                </c:pt>
                <c:pt idx="94">
                  <c:v>26.9</c:v>
                </c:pt>
                <c:pt idx="95">
                  <c:v>21.7</c:v>
                </c:pt>
                <c:pt idx="96">
                  <c:v>24.3</c:v>
                </c:pt>
                <c:pt idx="97">
                  <c:v>22.2</c:v>
                </c:pt>
                <c:pt idx="98">
                  <c:v>29</c:v>
                </c:pt>
                <c:pt idx="99">
                  <c:v>24.2</c:v>
                </c:pt>
                <c:pt idx="100">
                  <c:v>36.299999999999997</c:v>
                </c:pt>
                <c:pt idx="101">
                  <c:v>19.7</c:v>
                </c:pt>
                <c:pt idx="102">
                  <c:v>22.2</c:v>
                </c:pt>
                <c:pt idx="103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7-4318-8444-5F0045359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89064"/>
        <c:axId val="472493984"/>
      </c:scatterChart>
      <c:valAx>
        <c:axId val="47248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93984"/>
        <c:crosses val="autoZero"/>
        <c:crossBetween val="midCat"/>
      </c:valAx>
      <c:valAx>
        <c:axId val="47249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89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12BF07B7-CECC-457D-90D0-4EC4A377A18A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CSpline!$A$33</c:f>
          <c:strCache>
            <c:ptCount val="1"/>
            <c:pt idx="0">
              <c:v>Example 1; Fit spline to 5 data points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3"/>
          <c:y val="0.15384632380152793"/>
          <c:w val="0.84765625000000022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CSpline!$A$36:$A$40</c:f>
              <c:numCache>
                <c:formatCode>0.0</c:formatCode>
                <c:ptCount val="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CSpline!$B$36:$B$40</c:f>
              <c:numCache>
                <c:formatCode>0.0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0.1</c:v>
                </c:pt>
                <c:pt idx="3">
                  <c:v>3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E1-46A4-B1A6-29840A08550A}"/>
            </c:ext>
          </c:extLst>
        </c:ser>
        <c:ser>
          <c:idx val="4"/>
          <c:order val="1"/>
          <c:tx>
            <c:strRef>
              <c:f>CSpline!$D$34</c:f>
              <c:strCache>
                <c:ptCount val="1"/>
                <c:pt idx="0">
                  <c:v>Spline1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CSpline!$D$36:$D$57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E1-46A4-B1A6-29840A08550A}"/>
            </c:ext>
          </c:extLst>
        </c:ser>
        <c:ser>
          <c:idx val="1"/>
          <c:order val="2"/>
          <c:tx>
            <c:strRef>
              <c:f>CSpline!$E$34</c:f>
              <c:strCache>
                <c:ptCount val="1"/>
                <c:pt idx="0">
                  <c:v>Spline2</c:v>
                </c:pt>
              </c:strCache>
            </c:strRef>
          </c:tx>
          <c:spPr>
            <a:ln w="19050" cmpd="sng"/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CSpline!$E$36:$E$57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E1-46A4-B1A6-29840A08550A}"/>
            </c:ext>
          </c:extLst>
        </c:ser>
        <c:ser>
          <c:idx val="2"/>
          <c:order val="3"/>
          <c:tx>
            <c:strRef>
              <c:f>CSpline!$F$34</c:f>
              <c:strCache>
                <c:ptCount val="1"/>
                <c:pt idx="0">
                  <c:v>Spline3</c:v>
                </c:pt>
              </c:strCache>
            </c:strRef>
          </c:tx>
          <c:spPr>
            <a:ln w="1587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CSpline!$F$36:$F$57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E1-46A4-B1A6-29840A08550A}"/>
            </c:ext>
          </c:extLst>
        </c:ser>
        <c:ser>
          <c:idx val="3"/>
          <c:order val="4"/>
          <c:tx>
            <c:strRef>
              <c:f>CSpline!$G$34</c:f>
              <c:strCache>
                <c:ptCount val="1"/>
                <c:pt idx="0">
                  <c:v>Spline4</c:v>
                </c:pt>
              </c:strCache>
            </c:strRef>
          </c:tx>
          <c:spPr>
            <a:ln w="15875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CSpline!$C$36:$C$57</c:f>
              <c:numCache>
                <c:formatCode>General</c:formatCode>
                <c:ptCount val="22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</c:numCache>
            </c:numRef>
          </c:xVal>
          <c:yVal>
            <c:numRef>
              <c:f>CSpline!$G$36:$G$57</c:f>
              <c:numCache>
                <c:formatCode>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E1-46A4-B1A6-29840A085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10144"/>
        <c:axId val="1"/>
      </c:scatterChart>
      <c:valAx>
        <c:axId val="3463101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6967941084"/>
              <c:y val="0.911765884549666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037029795653E-2"/>
              <c:y val="0.4841634518839507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310144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190130624092887"/>
          <c:y val="0.9481651468061838"/>
          <c:w val="0.57329462989840352"/>
          <c:h val="3.887693084854512E-2"/>
        </c:manualLayout>
      </c:layout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CSpline!$A$60</c:f>
          <c:strCache>
            <c:ptCount val="1"/>
            <c:pt idx="0">
              <c:v>Example 2; Fit spline to 9 data points on a circular arc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CSpline!$A$63:$A$73</c:f>
              <c:numCache>
                <c:formatCode>0.00</c:formatCode>
                <c:ptCount val="11"/>
                <c:pt idx="0">
                  <c:v>-3.3258784492101809</c:v>
                </c:pt>
                <c:pt idx="1">
                  <c:v>-2.6607027593681449</c:v>
                </c:pt>
                <c:pt idx="2">
                  <c:v>-1.9955270695261087</c:v>
                </c:pt>
                <c:pt idx="3">
                  <c:v>-1.3303513796840725</c:v>
                </c:pt>
                <c:pt idx="4">
                  <c:v>-0.66517568984203623</c:v>
                </c:pt>
                <c:pt idx="5">
                  <c:v>0</c:v>
                </c:pt>
                <c:pt idx="6">
                  <c:v>0.66517568984203623</c:v>
                </c:pt>
                <c:pt idx="7">
                  <c:v>1.3303513796840725</c:v>
                </c:pt>
                <c:pt idx="8">
                  <c:v>1.9955270695261087</c:v>
                </c:pt>
                <c:pt idx="9">
                  <c:v>2.6607027593681449</c:v>
                </c:pt>
                <c:pt idx="10">
                  <c:v>3.3258784492101814</c:v>
                </c:pt>
              </c:numCache>
            </c:numRef>
          </c:xVal>
          <c:yVal>
            <c:numRef>
              <c:f>CSpline!$B$63:$B$73</c:f>
              <c:numCache>
                <c:formatCode>0.00</c:formatCode>
                <c:ptCount val="11"/>
                <c:pt idx="0">
                  <c:v>2.2222809320784087</c:v>
                </c:pt>
                <c:pt idx="1">
                  <c:v>2.9867475330684945</c:v>
                </c:pt>
                <c:pt idx="2">
                  <c:v>3.4666802152475125</c:v>
                </c:pt>
                <c:pt idx="3">
                  <c:v>3.7722891202256337</c:v>
                </c:pt>
                <c:pt idx="4">
                  <c:v>3.9443049199628533</c:v>
                </c:pt>
                <c:pt idx="5">
                  <c:v>4</c:v>
                </c:pt>
                <c:pt idx="6">
                  <c:v>3.9443049199628533</c:v>
                </c:pt>
                <c:pt idx="7">
                  <c:v>3.7722891202256337</c:v>
                </c:pt>
                <c:pt idx="8">
                  <c:v>3.4666802152475125</c:v>
                </c:pt>
                <c:pt idx="9">
                  <c:v>2.9867475330684945</c:v>
                </c:pt>
                <c:pt idx="10">
                  <c:v>2.2222809320784083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2-4BA8-A0FA-4443DB214BA6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CSpline!$C$63:$C$83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CSpline!$D$63:$D$83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22-4BA8-A0FA-4443DB214BA6}"/>
            </c:ext>
          </c:extLst>
        </c:ser>
        <c:ser>
          <c:idx val="2"/>
          <c:order val="2"/>
          <c:spPr>
            <a:ln w="28575">
              <a:noFill/>
            </a:ln>
          </c:spPr>
          <c:xVal>
            <c:numRef>
              <c:f>CSpline!$C$63:$C$83</c:f>
              <c:numCache>
                <c:formatCode>0.00</c:formatCode>
                <c:ptCount val="21"/>
                <c:pt idx="0">
                  <c:v>-2.8284271247461898</c:v>
                </c:pt>
                <c:pt idx="1">
                  <c:v>-2.545584412271571</c:v>
                </c:pt>
                <c:pt idx="2">
                  <c:v>-2.2627416997969521</c:v>
                </c:pt>
                <c:pt idx="3">
                  <c:v>-1.9798989873223332</c:v>
                </c:pt>
                <c:pt idx="4">
                  <c:v>-1.6970562748477143</c:v>
                </c:pt>
                <c:pt idx="5">
                  <c:v>-1.4142135623730954</c:v>
                </c:pt>
                <c:pt idx="6">
                  <c:v>-1.1313708498984765</c:v>
                </c:pt>
                <c:pt idx="7">
                  <c:v>-0.84852813742385746</c:v>
                </c:pt>
                <c:pt idx="8">
                  <c:v>-0.56568542494923846</c:v>
                </c:pt>
                <c:pt idx="9">
                  <c:v>-0.28284271247461945</c:v>
                </c:pt>
                <c:pt idx="10">
                  <c:v>-4.4408920985006262E-16</c:v>
                </c:pt>
                <c:pt idx="11">
                  <c:v>0.28284271247461856</c:v>
                </c:pt>
                <c:pt idx="12">
                  <c:v>0.56568542494923757</c:v>
                </c:pt>
                <c:pt idx="13">
                  <c:v>0.84852813742385658</c:v>
                </c:pt>
                <c:pt idx="14">
                  <c:v>1.1313708498984756</c:v>
                </c:pt>
                <c:pt idx="15">
                  <c:v>1.4142135623730945</c:v>
                </c:pt>
                <c:pt idx="16">
                  <c:v>1.6970562748477134</c:v>
                </c:pt>
                <c:pt idx="17">
                  <c:v>1.9798989873223323</c:v>
                </c:pt>
                <c:pt idx="18">
                  <c:v>2.2627416997969512</c:v>
                </c:pt>
                <c:pt idx="19">
                  <c:v>2.5455844122715701</c:v>
                </c:pt>
                <c:pt idx="20">
                  <c:v>2.828427124746189</c:v>
                </c:pt>
              </c:numCache>
            </c:numRef>
          </c:xVal>
          <c:yVal>
            <c:numRef>
              <c:f>CSpline!$S$64:$S$83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22-4BA8-A0FA-4443DB2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62552"/>
        <c:axId val="1"/>
      </c:scatterChart>
      <c:valAx>
        <c:axId val="346162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75"/>
              <c:y val="0.9117656226706600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50170877077862E-2"/>
              <c:y val="0.484163425354963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16255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CSpline!$A$103</c:f>
          <c:strCache>
            <c:ptCount val="1"/>
            <c:pt idx="0">
              <c:v>Example 3; Fit spline to the deflected shape of a 3 span beam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156250000000008"/>
          <c:y val="0.15384632380152807"/>
          <c:w val="0.84765625000000078"/>
          <c:h val="0.6855211192921019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CSpline!$A$112:$A$118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35</c:v>
                </c:pt>
                <c:pt idx="4">
                  <c:v>50</c:v>
                </c:pt>
                <c:pt idx="5">
                  <c:v>57.5</c:v>
                </c:pt>
                <c:pt idx="6">
                  <c:v>65</c:v>
                </c:pt>
              </c:numCache>
            </c:numRef>
          </c:xVal>
          <c:yVal>
            <c:numRef>
              <c:f>CSpline!$B$112:$B$118</c:f>
              <c:numCache>
                <c:formatCode>0.000</c:formatCode>
                <c:ptCount val="7"/>
                <c:pt idx="0">
                  <c:v>0</c:v>
                </c:pt>
                <c:pt idx="1">
                  <c:v>5.0000000000000001E-3</c:v>
                </c:pt>
                <c:pt idx="2">
                  <c:v>0</c:v>
                </c:pt>
                <c:pt idx="3">
                  <c:v>-1.0999999999999999E-2</c:v>
                </c:pt>
                <c:pt idx="4">
                  <c:v>0</c:v>
                </c:pt>
                <c:pt idx="5">
                  <c:v>0.01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37-4F91-8420-ACE7C0D32FC0}"/>
            </c:ext>
          </c:extLst>
        </c:ser>
        <c:ser>
          <c:idx val="1"/>
          <c:order val="1"/>
          <c:spPr>
            <a:ln w="19050" cmpd="sng"/>
          </c:spPr>
          <c:marker>
            <c:symbol val="x"/>
            <c:size val="5"/>
          </c:marker>
          <c:xVal>
            <c:numRef>
              <c:f>CSpline!$C$112:$C$136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CSpline!$D$112:$D$136</c:f>
              <c:numCache>
                <c:formatCode>0.000E+00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37-4F91-8420-ACE7C0D32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64520"/>
        <c:axId val="1"/>
      </c:scatterChart>
      <c:valAx>
        <c:axId val="346164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6389607444"/>
              <c:y val="0.911765740337734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0779063269E-2"/>
              <c:y val="0.48416338033122747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16452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paperSize="9" orientation="landscape" horizontalDpi="-3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CSpline!$G$110</c:f>
          <c:strCache>
            <c:ptCount val="1"/>
            <c:pt idx="0">
              <c:v>Bending Moment</c:v>
            </c:pt>
          </c:strCache>
        </c:strRef>
      </c:tx>
      <c:overlay val="0"/>
      <c:txPr>
        <a:bodyPr/>
        <a:lstStyle/>
        <a:p>
          <a:pPr>
            <a:defRPr sz="12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3660645360506E-2"/>
          <c:y val="8.2576738041375122E-2"/>
          <c:w val="0.847656250000001"/>
          <c:h val="0.68552111929210191"/>
        </c:manualLayout>
      </c:layout>
      <c:scatterChart>
        <c:scatterStyle val="lineMarker"/>
        <c:varyColors val="0"/>
        <c:ser>
          <c:idx val="1"/>
          <c:order val="0"/>
          <c:spPr>
            <a:ln w="19050" cmpd="sng"/>
          </c:spPr>
          <c:marker>
            <c:symbol val="x"/>
            <c:size val="5"/>
          </c:marker>
          <c:xVal>
            <c:numRef>
              <c:f>CSpline!$C$112:$C$136</c:f>
              <c:numCache>
                <c:formatCode>General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  <c:pt idx="5">
                  <c:v>12.5</c:v>
                </c:pt>
                <c:pt idx="6">
                  <c:v>15</c:v>
                </c:pt>
                <c:pt idx="7">
                  <c:v>17.5</c:v>
                </c:pt>
                <c:pt idx="8">
                  <c:v>20</c:v>
                </c:pt>
                <c:pt idx="9">
                  <c:v>23.75</c:v>
                </c:pt>
                <c:pt idx="10">
                  <c:v>27.5</c:v>
                </c:pt>
                <c:pt idx="11">
                  <c:v>31.25</c:v>
                </c:pt>
                <c:pt idx="12">
                  <c:v>35</c:v>
                </c:pt>
                <c:pt idx="13">
                  <c:v>38.75</c:v>
                </c:pt>
                <c:pt idx="14">
                  <c:v>42.5</c:v>
                </c:pt>
                <c:pt idx="15">
                  <c:v>46.25</c:v>
                </c:pt>
                <c:pt idx="16">
                  <c:v>50</c:v>
                </c:pt>
                <c:pt idx="17">
                  <c:v>51.875</c:v>
                </c:pt>
                <c:pt idx="18">
                  <c:v>53.75</c:v>
                </c:pt>
                <c:pt idx="19">
                  <c:v>55.625</c:v>
                </c:pt>
                <c:pt idx="20">
                  <c:v>57.5</c:v>
                </c:pt>
                <c:pt idx="21">
                  <c:v>59.375</c:v>
                </c:pt>
                <c:pt idx="22">
                  <c:v>61.25</c:v>
                </c:pt>
                <c:pt idx="23">
                  <c:v>63.125</c:v>
                </c:pt>
                <c:pt idx="24">
                  <c:v>65</c:v>
                </c:pt>
              </c:numCache>
            </c:numRef>
          </c:xVal>
          <c:yVal>
            <c:numRef>
              <c:f>CSpline!$G$112:$G$136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C-4447-9AA4-24710B34C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65176"/>
        <c:axId val="1"/>
      </c:scatterChart>
      <c:valAx>
        <c:axId val="346165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86389607444"/>
              <c:y val="0.911765983520352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40779063269E-2"/>
              <c:y val="0.4841634887102527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16517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" r="0.750000000000001" t="1" header="0.5" footer="0.5"/>
    <c:pageSetup paperSize="9" orientation="landscape" horizontalDpi="-3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SolveSpline!$A$72:$A$92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SolveSpline!$B$72:$B$92</c:f>
              <c:numCache>
                <c:formatCode>General</c:formatCode>
                <c:ptCount val="21"/>
                <c:pt idx="0">
                  <c:v>80</c:v>
                </c:pt>
                <c:pt idx="1">
                  <c:v>75</c:v>
                </c:pt>
                <c:pt idx="2">
                  <c:v>82</c:v>
                </c:pt>
                <c:pt idx="3">
                  <c:v>85</c:v>
                </c:pt>
                <c:pt idx="4">
                  <c:v>90</c:v>
                </c:pt>
                <c:pt idx="5">
                  <c:v>91</c:v>
                </c:pt>
                <c:pt idx="6">
                  <c:v>99.9</c:v>
                </c:pt>
                <c:pt idx="7">
                  <c:v>98</c:v>
                </c:pt>
                <c:pt idx="8">
                  <c:v>102.9</c:v>
                </c:pt>
                <c:pt idx="9">
                  <c:v>102</c:v>
                </c:pt>
                <c:pt idx="10">
                  <c:v>96</c:v>
                </c:pt>
                <c:pt idx="11">
                  <c:v>90</c:v>
                </c:pt>
                <c:pt idx="12">
                  <c:v>87</c:v>
                </c:pt>
                <c:pt idx="13">
                  <c:v>91</c:v>
                </c:pt>
                <c:pt idx="14">
                  <c:v>96</c:v>
                </c:pt>
                <c:pt idx="15">
                  <c:v>102</c:v>
                </c:pt>
                <c:pt idx="16">
                  <c:v>110</c:v>
                </c:pt>
                <c:pt idx="17">
                  <c:v>115</c:v>
                </c:pt>
                <c:pt idx="18">
                  <c:v>120</c:v>
                </c:pt>
                <c:pt idx="19">
                  <c:v>125</c:v>
                </c:pt>
                <c:pt idx="2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3E-4C65-939A-24B7D3641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34744"/>
        <c:axId val="1"/>
      </c:scatterChart>
      <c:valAx>
        <c:axId val="311234744"/>
        <c:scaling>
          <c:orientation val="minMax"/>
          <c:max val="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20"/>
          <c:min val="7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234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Example 1; Fit Hermite S</a:t>
            </a:r>
          </a:p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6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pline to 5 data points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56250000000006"/>
          <c:y val="0.15384632380152799"/>
          <c:w val="0.84765625000000044"/>
          <c:h val="0.68552111929210191"/>
        </c:manualLayout>
      </c:layout>
      <c:scatterChart>
        <c:scatterStyle val="lineMarker"/>
        <c:varyColors val="0"/>
        <c:ser>
          <c:idx val="0"/>
          <c:order val="0"/>
          <c:tx>
            <c:v>Data Points</c:v>
          </c:tx>
          <c:spPr>
            <a:ln w="25400">
              <a:noFill/>
              <a:prstDash val="solid"/>
            </a:ln>
          </c:spPr>
          <c:marker>
            <c:symbol val="diamond"/>
            <c:size val="10"/>
            <c:spPr>
              <a:solidFill>
                <a:srgbClr val="FF000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CHSpline!$A$30:$A$34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CHSpline!$B$30:$B$34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 formatCode="0.00E+00">
                  <c:v>1</c:v>
                </c:pt>
                <c:pt idx="4">
                  <c:v>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F-4D4A-AD83-3141FCF1C891}"/>
            </c:ext>
          </c:extLst>
        </c:ser>
        <c:ser>
          <c:idx val="4"/>
          <c:order val="1"/>
          <c:tx>
            <c:strRef>
              <c:f>CHSpline!$D$28</c:f>
              <c:strCache>
                <c:ptCount val="1"/>
                <c:pt idx="0">
                  <c:v>CSpline</c:v>
                </c:pt>
              </c:strCache>
            </c:strRef>
          </c:tx>
          <c:spPr>
            <a:ln w="19050">
              <a:solidFill>
                <a:srgbClr val="000080"/>
              </a:solidFill>
            </a:ln>
          </c:spPr>
          <c:marker>
            <c:symbol val="none"/>
          </c:marker>
          <c:xVal>
            <c:numRef>
              <c:f>CHSpline!$C$30:$C$50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CHSpline!$D$30:$D$50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F-4D4A-AD83-3141FCF1C891}"/>
            </c:ext>
          </c:extLst>
        </c:ser>
        <c:ser>
          <c:idx val="1"/>
          <c:order val="2"/>
          <c:tx>
            <c:strRef>
              <c:f>CHSpline!$E$28</c:f>
              <c:strCache>
                <c:ptCount val="1"/>
                <c:pt idx="0">
                  <c:v>CHSpline, Mono  = FALSE</c:v>
                </c:pt>
              </c:strCache>
            </c:strRef>
          </c:tx>
          <c:spPr>
            <a:ln w="19050" cmpd="sng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CHSpline!$C$30:$C$50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CHSpline!$E$30:$E$50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F-4D4A-AD83-3141FCF1C891}"/>
            </c:ext>
          </c:extLst>
        </c:ser>
        <c:ser>
          <c:idx val="2"/>
          <c:order val="3"/>
          <c:tx>
            <c:strRef>
              <c:f>CHSpline!$F$28</c:f>
              <c:strCache>
                <c:ptCount val="1"/>
                <c:pt idx="0">
                  <c:v>CHSpline, Mono  = TRUE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CHSpline!$C$30:$C$50</c:f>
              <c:numCache>
                <c:formatCode>General</c:formatCode>
                <c:ptCount val="2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  <c:pt idx="11">
                  <c:v>3.2</c:v>
                </c:pt>
                <c:pt idx="12">
                  <c:v>3.4</c:v>
                </c:pt>
                <c:pt idx="13">
                  <c:v>3.6</c:v>
                </c:pt>
                <c:pt idx="14">
                  <c:v>3.8</c:v>
                </c:pt>
                <c:pt idx="15">
                  <c:v>4</c:v>
                </c:pt>
                <c:pt idx="16">
                  <c:v>4.2</c:v>
                </c:pt>
                <c:pt idx="17">
                  <c:v>4.4000000000000004</c:v>
                </c:pt>
                <c:pt idx="18">
                  <c:v>4.5999999999999996</c:v>
                </c:pt>
                <c:pt idx="19">
                  <c:v>4.8</c:v>
                </c:pt>
                <c:pt idx="20">
                  <c:v>5</c:v>
                </c:pt>
              </c:numCache>
            </c:numRef>
          </c:xVal>
          <c:yVal>
            <c:numRef>
              <c:f>CHSpline!$F$30:$F$50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F-4D4A-AD83-3141FCF1C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09160"/>
        <c:axId val="1"/>
      </c:scatterChart>
      <c:valAx>
        <c:axId val="3463091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x</a:t>
                </a:r>
              </a:p>
            </c:rich>
          </c:tx>
          <c:layout>
            <c:manualLayout>
              <c:xMode val="edge"/>
              <c:yMode val="edge"/>
              <c:x val="0.51367168368308025"/>
              <c:y val="0.911765792625436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y</a:t>
                </a:r>
              </a:p>
            </c:rich>
          </c:tx>
          <c:layout>
            <c:manualLayout>
              <c:xMode val="edge"/>
              <c:yMode val="edge"/>
              <c:x val="3.1249921511007295E-2"/>
              <c:y val="0.48416363003168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309160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257118041617096"/>
          <c:y val="0.94769971285355736"/>
          <c:w val="0.75186955791870724"/>
          <c:h val="3.7656942232591681E-2"/>
        </c:manualLayout>
      </c:layout>
      <c:overlay val="0"/>
      <c:txPr>
        <a:bodyPr/>
        <a:lstStyle/>
        <a:p>
          <a:pPr>
            <a:defRPr sz="6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paperSize="9" orientation="landscape" horizontalDpi="-3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16666666666666E-2"/>
          <c:y val="4.8611111111111112E-2"/>
          <c:w val="0.83747144573529486"/>
          <c:h val="0.8577201486177864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CardSpline!$D$28</c:f>
              <c:strCache>
                <c:ptCount val="1"/>
                <c:pt idx="0">
                  <c:v>Ptype = L</c:v>
                </c:pt>
              </c:strCache>
            </c:strRef>
          </c:tx>
          <c:xVal>
            <c:numRef>
              <c:f>CardSpline!$D$30:$D$50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CardSpline!$E$30:$E$50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9-429A-8D5B-0D91A9F23FA4}"/>
            </c:ext>
          </c:extLst>
        </c:ser>
        <c:ser>
          <c:idx val="1"/>
          <c:order val="1"/>
          <c:tx>
            <c:strRef>
              <c:f>CardSpline!$G$28</c:f>
              <c:strCache>
                <c:ptCount val="1"/>
                <c:pt idx="0">
                  <c:v>Ptype = X</c:v>
                </c:pt>
              </c:strCache>
            </c:strRef>
          </c:tx>
          <c:xVal>
            <c:numRef>
              <c:f>CardSpline!$F$30:$F$50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CardSpline!$G$30:$G$50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9-429A-8D5B-0D91A9F23FA4}"/>
            </c:ext>
          </c:extLst>
        </c:ser>
        <c:ser>
          <c:idx val="2"/>
          <c:order val="2"/>
          <c:tx>
            <c:strRef>
              <c:f>CardSpline!$J$28</c:f>
              <c:strCache>
                <c:ptCount val="1"/>
                <c:pt idx="0">
                  <c:v>Ptype = Y</c:v>
                </c:pt>
              </c:strCache>
            </c:strRef>
          </c:tx>
          <c:xVal>
            <c:numRef>
              <c:f>CardSpline!$J$30:$J$50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CardSpline!$I$30:$I$50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89-429A-8D5B-0D91A9F23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52976"/>
        <c:axId val="1"/>
      </c:scatterChart>
      <c:valAx>
        <c:axId val="308752976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08752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4950884086444008"/>
          <c:y val="0.93233310897632016"/>
          <c:w val="0.50098231827111983"/>
          <c:h val="5.0125435966468825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014705882352935E-2"/>
          <c:y val="3.482587064676617E-2"/>
          <c:w val="0.8970588235294118"/>
          <c:h val="0.9253731343283582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CardSpline!$A$31:$A$35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</c:numCache>
            </c:numRef>
          </c:xVal>
          <c:yVal>
            <c:numRef>
              <c:f>CardSpline!$B$31:$B$35</c:f>
              <c:numCache>
                <c:formatCode>General</c:formatCode>
                <c:ptCount val="5"/>
                <c:pt idx="0">
                  <c:v>0</c:v>
                </c:pt>
                <c:pt idx="1">
                  <c:v>-0.5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B2-468B-91A6-82D1EB953A86}"/>
            </c:ext>
          </c:extLst>
        </c:ser>
        <c:ser>
          <c:idx val="1"/>
          <c:order val="1"/>
          <c:xVal>
            <c:numRef>
              <c:f>CardSpline!$B$66:$B$86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CardSpline!$C$66:$C$86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B2-468B-91A6-82D1EB953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308176"/>
        <c:axId val="1"/>
      </c:scatterChart>
      <c:valAx>
        <c:axId val="34630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463081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Splines Compared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Procedure!$A$43</c:f>
              <c:strCache>
                <c:ptCount val="1"/>
                <c:pt idx="0">
                  <c:v>Natural Spline: c(1) = c(5) = 0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Procedure!$C$142:$C$165</c:f>
              <c:numCache>
                <c:formatCode>General</c:formatCode>
                <c:ptCount val="24"/>
                <c:pt idx="0">
                  <c:v>0.75</c:v>
                </c:pt>
                <c:pt idx="1">
                  <c:v>0.74999763392857088</c:v>
                </c:pt>
                <c:pt idx="2">
                  <c:v>0.62250000000000005</c:v>
                </c:pt>
                <c:pt idx="3">
                  <c:v>0.49714285714285722</c:v>
                </c:pt>
                <c:pt idx="4">
                  <c:v>0.29785714285714304</c:v>
                </c:pt>
                <c:pt idx="5">
                  <c:v>0</c:v>
                </c:pt>
                <c:pt idx="6">
                  <c:v>-0.39842857142857085</c:v>
                </c:pt>
                <c:pt idx="7">
                  <c:v>-0.80885714285714272</c:v>
                </c:pt>
                <c:pt idx="8">
                  <c:v>-1.1200714285714288</c:v>
                </c:pt>
                <c:pt idx="9">
                  <c:v>-1.2208571428571429</c:v>
                </c:pt>
                <c:pt idx="10">
                  <c:v>-1</c:v>
                </c:pt>
                <c:pt idx="11">
                  <c:v>-0.39285714285714052</c:v>
                </c:pt>
                <c:pt idx="12">
                  <c:v>0.47892857142857526</c:v>
                </c:pt>
                <c:pt idx="13">
                  <c:v>1.4471428571428615</c:v>
                </c:pt>
                <c:pt idx="14">
                  <c:v>2.3435714285714333</c:v>
                </c:pt>
                <c:pt idx="15">
                  <c:v>3</c:v>
                </c:pt>
                <c:pt idx="16">
                  <c:v>3.2898571428571435</c:v>
                </c:pt>
                <c:pt idx="17">
                  <c:v>3.2531428571428558</c:v>
                </c:pt>
                <c:pt idx="18">
                  <c:v>2.9714999999999971</c:v>
                </c:pt>
                <c:pt idx="19">
                  <c:v>2.5265714285714291</c:v>
                </c:pt>
                <c:pt idx="20">
                  <c:v>1.9999999999999993</c:v>
                </c:pt>
                <c:pt idx="21">
                  <c:v>1.4598214285714275</c:v>
                </c:pt>
                <c:pt idx="22">
                  <c:v>0.91964285714285543</c:v>
                </c:pt>
                <c:pt idx="23">
                  <c:v>0.37946428571428359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7-46EE-8C41-44BA2E4AD9C3}"/>
            </c:ext>
          </c:extLst>
        </c:ser>
        <c:ser>
          <c:idx val="2"/>
          <c:order val="1"/>
          <c:tx>
            <c:strRef>
              <c:f>Procedure!$A$57</c:f>
              <c:strCache>
                <c:ptCount val="1"/>
                <c:pt idx="0">
                  <c:v>Specified second derivative: c(1) = 1; c(5) = -1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Procedure!$D$142:$D$165</c:f>
              <c:numCache>
                <c:formatCode>General</c:formatCode>
                <c:ptCount val="24"/>
                <c:pt idx="0">
                  <c:v>0.75</c:v>
                </c:pt>
                <c:pt idx="1">
                  <c:v>0.74999471731190392</c:v>
                </c:pt>
                <c:pt idx="2">
                  <c:v>0.57250000000000012</c:v>
                </c:pt>
                <c:pt idx="3">
                  <c:v>0.45714285714285724</c:v>
                </c:pt>
                <c:pt idx="4">
                  <c:v>0.27785714285714302</c:v>
                </c:pt>
                <c:pt idx="5">
                  <c:v>0</c:v>
                </c:pt>
                <c:pt idx="6">
                  <c:v>-0.38642857142857084</c:v>
                </c:pt>
                <c:pt idx="7">
                  <c:v>-0.79285714285714259</c:v>
                </c:pt>
                <c:pt idx="8">
                  <c:v>-1.1060714285714286</c:v>
                </c:pt>
                <c:pt idx="9">
                  <c:v>-1.2128571428571433</c:v>
                </c:pt>
                <c:pt idx="10">
                  <c:v>-1</c:v>
                </c:pt>
                <c:pt idx="11">
                  <c:v>-0.40085714285714047</c:v>
                </c:pt>
                <c:pt idx="12">
                  <c:v>0.46492857142857535</c:v>
                </c:pt>
                <c:pt idx="13">
                  <c:v>1.4311428571428617</c:v>
                </c:pt>
                <c:pt idx="14">
                  <c:v>2.3315714285714328</c:v>
                </c:pt>
                <c:pt idx="15">
                  <c:v>3</c:v>
                </c:pt>
                <c:pt idx="16">
                  <c:v>3.3098571428571435</c:v>
                </c:pt>
                <c:pt idx="17">
                  <c:v>3.2931428571428563</c:v>
                </c:pt>
                <c:pt idx="18">
                  <c:v>3.0214999999999979</c:v>
                </c:pt>
                <c:pt idx="19">
                  <c:v>2.5665714285714287</c:v>
                </c:pt>
                <c:pt idx="20">
                  <c:v>2</c:v>
                </c:pt>
                <c:pt idx="21">
                  <c:v>1.4014880952380948</c:v>
                </c:pt>
                <c:pt idx="22">
                  <c:v>0.8029761904761894</c:v>
                </c:pt>
                <c:pt idx="23">
                  <c:v>0.20446428571428421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E7-46EE-8C41-44BA2E4AD9C3}"/>
            </c:ext>
          </c:extLst>
        </c:ser>
        <c:ser>
          <c:idx val="3"/>
          <c:order val="2"/>
          <c:tx>
            <c:strRef>
              <c:f>Procedure!$A$70</c:f>
              <c:strCache>
                <c:ptCount val="1"/>
                <c:pt idx="0">
                  <c:v>Clamped Spline 1: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Procedure!$E$142:$E$165</c:f>
              <c:numCache>
                <c:formatCode>General</c:formatCode>
                <c:ptCount val="24"/>
                <c:pt idx="0">
                  <c:v>0.75</c:v>
                </c:pt>
                <c:pt idx="1">
                  <c:v>0.74999999996383893</c:v>
                </c:pt>
                <c:pt idx="2">
                  <c:v>0.66728571428571437</c:v>
                </c:pt>
                <c:pt idx="3">
                  <c:v>0.53592857142857153</c:v>
                </c:pt>
                <c:pt idx="4">
                  <c:v>0.31971428571428595</c:v>
                </c:pt>
                <c:pt idx="5">
                  <c:v>0</c:v>
                </c:pt>
                <c:pt idx="6">
                  <c:v>-0.41942857142857076</c:v>
                </c:pt>
                <c:pt idx="7">
                  <c:v>-0.84507142857142814</c:v>
                </c:pt>
                <c:pt idx="8">
                  <c:v>-1.1609999999999996</c:v>
                </c:pt>
                <c:pt idx="9">
                  <c:v>-1.2512857142857141</c:v>
                </c:pt>
                <c:pt idx="10">
                  <c:v>-1</c:v>
                </c:pt>
                <c:pt idx="11">
                  <c:v>-0.34271428571428303</c:v>
                </c:pt>
                <c:pt idx="12">
                  <c:v>0.57900000000000418</c:v>
                </c:pt>
                <c:pt idx="13">
                  <c:v>1.5720714285714332</c:v>
                </c:pt>
                <c:pt idx="14">
                  <c:v>2.4434285714285759</c:v>
                </c:pt>
                <c:pt idx="15">
                  <c:v>3</c:v>
                </c:pt>
                <c:pt idx="16">
                  <c:v>3.1102857142857139</c:v>
                </c:pt>
                <c:pt idx="17">
                  <c:v>2.8890714285714267</c:v>
                </c:pt>
                <c:pt idx="18">
                  <c:v>2.5127142857142832</c:v>
                </c:pt>
                <c:pt idx="19">
                  <c:v>2.1575714285714289</c:v>
                </c:pt>
                <c:pt idx="20">
                  <c:v>1.9999999999999991</c:v>
                </c:pt>
                <c:pt idx="21">
                  <c:v>1.9999999999999991</c:v>
                </c:pt>
                <c:pt idx="22">
                  <c:v>1.9999999999999991</c:v>
                </c:pt>
                <c:pt idx="23">
                  <c:v>1.9999999999999991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E7-46EE-8C41-44BA2E4AD9C3}"/>
            </c:ext>
          </c:extLst>
        </c:ser>
        <c:ser>
          <c:idx val="4"/>
          <c:order val="3"/>
          <c:tx>
            <c:strRef>
              <c:f>Procedure!$A$84</c:f>
              <c:strCache>
                <c:ptCount val="1"/>
                <c:pt idx="0">
                  <c:v>Clamped Spline 2:</c:v>
                </c:pt>
              </c:strCache>
            </c:strRef>
          </c:tx>
          <c:marker>
            <c:symbol val="none"/>
          </c:marker>
          <c:xVal>
            <c:numRef>
              <c:f>Procedure!$A$142:$A$165</c:f>
              <c:numCache>
                <c:formatCode>General</c:formatCode>
                <c:ptCount val="24"/>
                <c:pt idx="0">
                  <c:v>1</c:v>
                </c:pt>
                <c:pt idx="1">
                  <c:v>1.0000100000000001</c:v>
                </c:pt>
                <c:pt idx="2">
                  <c:v>1.4</c:v>
                </c:pt>
                <c:pt idx="3">
                  <c:v>1.5999999999999999</c:v>
                </c:pt>
                <c:pt idx="4">
                  <c:v>1.7999999999999998</c:v>
                </c:pt>
                <c:pt idx="5">
                  <c:v>1.9999999999999998</c:v>
                </c:pt>
                <c:pt idx="6">
                  <c:v>2.1999999999999997</c:v>
                </c:pt>
                <c:pt idx="7">
                  <c:v>2.4</c:v>
                </c:pt>
                <c:pt idx="8">
                  <c:v>2.6</c:v>
                </c:pt>
                <c:pt idx="9">
                  <c:v>2.8000000000000003</c:v>
                </c:pt>
                <c:pt idx="10">
                  <c:v>3.0000000000000004</c:v>
                </c:pt>
                <c:pt idx="11">
                  <c:v>3.2000000000000006</c:v>
                </c:pt>
                <c:pt idx="12">
                  <c:v>3.4000000000000008</c:v>
                </c:pt>
                <c:pt idx="13">
                  <c:v>3.600000000000001</c:v>
                </c:pt>
                <c:pt idx="14">
                  <c:v>3.8000000000000012</c:v>
                </c:pt>
                <c:pt idx="15">
                  <c:v>4.0000000000000009</c:v>
                </c:pt>
                <c:pt idx="16">
                  <c:v>4.2000000000000011</c:v>
                </c:pt>
                <c:pt idx="17">
                  <c:v>4.4000000000000012</c:v>
                </c:pt>
                <c:pt idx="18">
                  <c:v>4.6000000000000014</c:v>
                </c:pt>
                <c:pt idx="19">
                  <c:v>4.8</c:v>
                </c:pt>
                <c:pt idx="20">
                  <c:v>5</c:v>
                </c:pt>
                <c:pt idx="21">
                  <c:v>5.2</c:v>
                </c:pt>
                <c:pt idx="22">
                  <c:v>5.4</c:v>
                </c:pt>
                <c:pt idx="23">
                  <c:v>5.6000000000000005</c:v>
                </c:pt>
              </c:numCache>
            </c:numRef>
          </c:xVal>
          <c:yVal>
            <c:numRef>
              <c:f>Procedure!$G$142:$G$165</c:f>
              <c:numCache>
                <c:formatCode>General</c:formatCode>
                <c:ptCount val="24"/>
                <c:pt idx="0">
                  <c:v>0.75</c:v>
                </c:pt>
                <c:pt idx="1">
                  <c:v>0.74999000013526673</c:v>
                </c:pt>
                <c:pt idx="2">
                  <c:v>0.49585714285714289</c:v>
                </c:pt>
                <c:pt idx="3">
                  <c:v>0.39878571428571441</c:v>
                </c:pt>
                <c:pt idx="4">
                  <c:v>0.25114285714285722</c:v>
                </c:pt>
                <c:pt idx="5">
                  <c:v>0</c:v>
                </c:pt>
                <c:pt idx="6">
                  <c:v>-0.37828571428571367</c:v>
                </c:pt>
                <c:pt idx="7">
                  <c:v>-0.79021428571428542</c:v>
                </c:pt>
                <c:pt idx="8">
                  <c:v>-1.113</c:v>
                </c:pt>
                <c:pt idx="9">
                  <c:v>-1.2238571428571428</c:v>
                </c:pt>
                <c:pt idx="10">
                  <c:v>-1</c:v>
                </c:pt>
                <c:pt idx="11">
                  <c:v>-0.37014285714285444</c:v>
                </c:pt>
                <c:pt idx="12">
                  <c:v>0.53100000000000402</c:v>
                </c:pt>
                <c:pt idx="13">
                  <c:v>1.5172142857142903</c:v>
                </c:pt>
                <c:pt idx="14">
                  <c:v>2.4022857142857195</c:v>
                </c:pt>
                <c:pt idx="15">
                  <c:v>3</c:v>
                </c:pt>
                <c:pt idx="16">
                  <c:v>3.1788571428571428</c:v>
                </c:pt>
                <c:pt idx="17">
                  <c:v>3.0262142857142837</c:v>
                </c:pt>
                <c:pt idx="18">
                  <c:v>2.6841428571428532</c:v>
                </c:pt>
                <c:pt idx="19">
                  <c:v>2.2947142857142859</c:v>
                </c:pt>
                <c:pt idx="20">
                  <c:v>1.9999999999999996</c:v>
                </c:pt>
                <c:pt idx="21">
                  <c:v>1.7999999999999992</c:v>
                </c:pt>
                <c:pt idx="22">
                  <c:v>1.5999999999999988</c:v>
                </c:pt>
                <c:pt idx="23">
                  <c:v>1.3999999999999986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E7-46EE-8C41-44BA2E4A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32448"/>
        <c:axId val="1"/>
      </c:scatterChart>
      <c:valAx>
        <c:axId val="311232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1232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7.6398413784328753E-2"/>
          <c:y val="0.95429701273370793"/>
          <c:w val="0.84174680901662224"/>
          <c:h val="3.2906793542541654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908472663008779E-2"/>
          <c:y val="3.0392658498915072E-2"/>
          <c:w val="0.90786167886475999"/>
          <c:h val="0.81878132787553182"/>
        </c:manualLayout>
      </c:layout>
      <c:scatterChart>
        <c:scatterStyle val="smoothMarker"/>
        <c:varyColors val="0"/>
        <c:ser>
          <c:idx val="0"/>
          <c:order val="0"/>
          <c:tx>
            <c:v>Base Data</c:v>
          </c:tx>
          <c:spPr>
            <a:ln w="9525"/>
          </c:spPr>
          <c:xVal>
            <c:numRef>
              <c:f>'On-Sheet'!$B$7:$B$14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32</c:v>
                </c:pt>
                <c:pt idx="3">
                  <c:v>40</c:v>
                </c:pt>
                <c:pt idx="4">
                  <c:v>50</c:v>
                </c:pt>
                <c:pt idx="5">
                  <c:v>65</c:v>
                </c:pt>
                <c:pt idx="6">
                  <c:v>80</c:v>
                </c:pt>
                <c:pt idx="7">
                  <c:v>100</c:v>
                </c:pt>
              </c:numCache>
            </c:numRef>
          </c:xVal>
          <c:yVal>
            <c:numRef>
              <c:f>'On-Sheet'!$C$7:$C$14</c:f>
              <c:numCache>
                <c:formatCode>General</c:formatCode>
                <c:ptCount val="8"/>
                <c:pt idx="0">
                  <c:v>5.2</c:v>
                </c:pt>
                <c:pt idx="1">
                  <c:v>4.2</c:v>
                </c:pt>
                <c:pt idx="2">
                  <c:v>3.4</c:v>
                </c:pt>
                <c:pt idx="3">
                  <c:v>2.8</c:v>
                </c:pt>
                <c:pt idx="4">
                  <c:v>2.4</c:v>
                </c:pt>
                <c:pt idx="5">
                  <c:v>2</c:v>
                </c:pt>
                <c:pt idx="6">
                  <c:v>1.7</c:v>
                </c:pt>
                <c:pt idx="7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67-41E7-9DA1-FE89A02D34D3}"/>
            </c:ext>
          </c:extLst>
        </c:ser>
        <c:ser>
          <c:idx val="1"/>
          <c:order val="1"/>
          <c:tx>
            <c:strRef>
              <c:f>'On-Sheet'!$C$51</c:f>
              <c:strCache>
                <c:ptCount val="1"/>
                <c:pt idx="0">
                  <c:v>InterpA</c:v>
                </c:pt>
              </c:strCache>
            </c:strRef>
          </c:tx>
          <c:spPr>
            <a:ln w="9525"/>
          </c:spPr>
          <c:marker>
            <c:symbol val="x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'On-Sheet'!$C$52:$C$84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67-41E7-9DA1-FE89A02D34D3}"/>
            </c:ext>
          </c:extLst>
        </c:ser>
        <c:ser>
          <c:idx val="2"/>
          <c:order val="2"/>
          <c:tx>
            <c:strRef>
              <c:f>'On-Sheet'!$F$51</c:f>
              <c:strCache>
                <c:ptCount val="1"/>
                <c:pt idx="0">
                  <c:v>CsplineA</c:v>
                </c:pt>
              </c:strCache>
            </c:strRef>
          </c:tx>
          <c:spPr>
            <a:ln w="9525"/>
          </c:spPr>
          <c:marker>
            <c:symbol val="star"/>
            <c:size val="3"/>
          </c:marke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'On-Sheet'!$F$52:$F$84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67-41E7-9DA1-FE89A02D34D3}"/>
            </c:ext>
          </c:extLst>
        </c:ser>
        <c:ser>
          <c:idx val="3"/>
          <c:order val="3"/>
          <c:tx>
            <c:strRef>
              <c:f>'On-Sheet'!$G$51</c:f>
              <c:strCache>
                <c:ptCount val="1"/>
                <c:pt idx="0">
                  <c:v>CardSplineA</c:v>
                </c:pt>
              </c:strCache>
            </c:strRef>
          </c:tx>
          <c:spPr>
            <a:ln w="9525"/>
          </c:spP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'On-Sheet'!$G$54:$G$76</c:f>
              <c:numCache>
                <c:formatCode>0.000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767-41E7-9DA1-FE89A02D34D3}"/>
            </c:ext>
          </c:extLst>
        </c:ser>
        <c:ser>
          <c:idx val="4"/>
          <c:order val="4"/>
          <c:tx>
            <c:strRef>
              <c:f>'On-Sheet'!$H$51</c:f>
              <c:strCache>
                <c:ptCount val="1"/>
                <c:pt idx="0">
                  <c:v>Trend, Cubic</c:v>
                </c:pt>
              </c:strCache>
            </c:strRef>
          </c:tx>
          <c:spPr>
            <a:ln w="9525"/>
          </c:spPr>
          <c:xVal>
            <c:numRef>
              <c:f>'On-Sheet'!$B$52:$B$84</c:f>
              <c:numCache>
                <c:formatCode>General</c:formatCode>
                <c:ptCount val="33"/>
                <c:pt idx="0">
                  <c:v>20</c:v>
                </c:pt>
                <c:pt idx="1">
                  <c:v>22.5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40.000000010000001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50.000000000999997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77.5</c:v>
                </c:pt>
                <c:pt idx="24">
                  <c:v>80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90</c:v>
                </c:pt>
                <c:pt idx="29">
                  <c:v>92.5</c:v>
                </c:pt>
                <c:pt idx="30">
                  <c:v>95</c:v>
                </c:pt>
                <c:pt idx="31">
                  <c:v>97.5</c:v>
                </c:pt>
                <c:pt idx="32">
                  <c:v>100</c:v>
                </c:pt>
              </c:numCache>
            </c:numRef>
          </c:xVal>
          <c:yVal>
            <c:numRef>
              <c:f>'On-Sheet'!$H$52:$H$84</c:f>
              <c:numCache>
                <c:formatCode>0.000</c:formatCode>
                <c:ptCount val="33"/>
                <c:pt idx="0">
                  <c:v>5.0654344799920334</c:v>
                </c:pt>
                <c:pt idx="1">
                  <c:v>4.6778315707428932</c:v>
                </c:pt>
                <c:pt idx="2">
                  <c:v>4.3237466678182042</c:v>
                </c:pt>
                <c:pt idx="3">
                  <c:v>4.0016030337159059</c:v>
                </c:pt>
                <c:pt idx="4">
                  <c:v>3.7098239309339389</c:v>
                </c:pt>
                <c:pt idx="5">
                  <c:v>3.4468326219702483</c:v>
                </c:pt>
                <c:pt idx="6">
                  <c:v>3.2110523693227719</c:v>
                </c:pt>
                <c:pt idx="7">
                  <c:v>3.0009064354894548</c:v>
                </c:pt>
                <c:pt idx="8">
                  <c:v>2.8148180822698965</c:v>
                </c:pt>
                <c:pt idx="9">
                  <c:v>2.6512105742570604</c:v>
                </c:pt>
                <c:pt idx="10">
                  <c:v>2.508507171853867</c:v>
                </c:pt>
                <c:pt idx="11">
                  <c:v>2.3851311382565976</c:v>
                </c:pt>
                <c:pt idx="12">
                  <c:v>2.2795057359242854</c:v>
                </c:pt>
                <c:pt idx="13">
                  <c:v>2.1900542274715997</c:v>
                </c:pt>
                <c:pt idx="14">
                  <c:v>2.1151998752797567</c:v>
                </c:pt>
                <c:pt idx="15">
                  <c:v>2.0533659418855992</c:v>
                </c:pt>
                <c:pt idx="16">
                  <c:v>2.0029756897870801</c:v>
                </c:pt>
                <c:pt idx="17">
                  <c:v>1.9624523814821346</c:v>
                </c:pt>
                <c:pt idx="18">
                  <c:v>1.9302192794687043</c:v>
                </c:pt>
                <c:pt idx="19">
                  <c:v>1.9046996462447359</c:v>
                </c:pt>
                <c:pt idx="20">
                  <c:v>1.8843167443081628</c:v>
                </c:pt>
                <c:pt idx="21">
                  <c:v>1.8674938361569344</c:v>
                </c:pt>
                <c:pt idx="22">
                  <c:v>1.8526541842889852</c:v>
                </c:pt>
                <c:pt idx="23">
                  <c:v>1.8382210512022654</c:v>
                </c:pt>
                <c:pt idx="24">
                  <c:v>1.8226176993947139</c:v>
                </c:pt>
                <c:pt idx="25">
                  <c:v>1.8042673913642648</c:v>
                </c:pt>
                <c:pt idx="26">
                  <c:v>1.7815933896088687</c:v>
                </c:pt>
                <c:pt idx="27">
                  <c:v>1.7530189566264625</c:v>
                </c:pt>
                <c:pt idx="28">
                  <c:v>1.7169673549149955</c:v>
                </c:pt>
                <c:pt idx="29">
                  <c:v>1.6718618469723943</c:v>
                </c:pt>
                <c:pt idx="30">
                  <c:v>1.6161256952966205</c:v>
                </c:pt>
                <c:pt idx="31">
                  <c:v>1.5481821623855989</c:v>
                </c:pt>
                <c:pt idx="32">
                  <c:v>1.4664545107372842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767-41E7-9DA1-FE89A02D34D3}"/>
            </c:ext>
          </c:extLst>
        </c:ser>
        <c:ser>
          <c:idx val="5"/>
          <c:order val="5"/>
          <c:tx>
            <c:strRef>
              <c:f>'On-Sheet'!$I$51</c:f>
              <c:strCache>
                <c:ptCount val="1"/>
                <c:pt idx="0">
                  <c:v>Lagrange</c:v>
                </c:pt>
              </c:strCache>
            </c:strRef>
          </c:tx>
          <c:spPr>
            <a:ln w="9525"/>
          </c:spPr>
          <c:marker>
            <c:spPr>
              <a:noFill/>
            </c:spPr>
          </c:marker>
          <c:xVal>
            <c:numRef>
              <c:f>'On-Sheet'!$B$54:$B$76</c:f>
              <c:numCache>
                <c:formatCode>General</c:formatCode>
                <c:ptCount val="23"/>
                <c:pt idx="0">
                  <c:v>25</c:v>
                </c:pt>
                <c:pt idx="1">
                  <c:v>27.5</c:v>
                </c:pt>
                <c:pt idx="2">
                  <c:v>30</c:v>
                </c:pt>
                <c:pt idx="3">
                  <c:v>32.5</c:v>
                </c:pt>
                <c:pt idx="4">
                  <c:v>35</c:v>
                </c:pt>
                <c:pt idx="5">
                  <c:v>37.5</c:v>
                </c:pt>
                <c:pt idx="6">
                  <c:v>40.000000010000001</c:v>
                </c:pt>
                <c:pt idx="7">
                  <c:v>42.5</c:v>
                </c:pt>
                <c:pt idx="8">
                  <c:v>45</c:v>
                </c:pt>
                <c:pt idx="9">
                  <c:v>47.5</c:v>
                </c:pt>
                <c:pt idx="10">
                  <c:v>50.000000000999997</c:v>
                </c:pt>
                <c:pt idx="11">
                  <c:v>52.5</c:v>
                </c:pt>
                <c:pt idx="12">
                  <c:v>55</c:v>
                </c:pt>
                <c:pt idx="13">
                  <c:v>57.5</c:v>
                </c:pt>
                <c:pt idx="14">
                  <c:v>60</c:v>
                </c:pt>
                <c:pt idx="15">
                  <c:v>62.5</c:v>
                </c:pt>
                <c:pt idx="16">
                  <c:v>65</c:v>
                </c:pt>
                <c:pt idx="17">
                  <c:v>67.5</c:v>
                </c:pt>
                <c:pt idx="18">
                  <c:v>70</c:v>
                </c:pt>
                <c:pt idx="19">
                  <c:v>72.5</c:v>
                </c:pt>
                <c:pt idx="20">
                  <c:v>75</c:v>
                </c:pt>
                <c:pt idx="21">
                  <c:v>77.5</c:v>
                </c:pt>
                <c:pt idx="22">
                  <c:v>80</c:v>
                </c:pt>
              </c:numCache>
            </c:numRef>
          </c:xVal>
          <c:yVal>
            <c:numRef>
              <c:f>'On-Sheet'!$I$54:$I$75</c:f>
              <c:numCache>
                <c:formatCode>0.000</c:formatCode>
                <c:ptCount val="22"/>
                <c:pt idx="0">
                  <c:v>4.1999999999999993</c:v>
                </c:pt>
                <c:pt idx="1">
                  <c:v>3.8530133928571413</c:v>
                </c:pt>
                <c:pt idx="2">
                  <c:v>3.5797619047619058</c:v>
                </c:pt>
                <c:pt idx="3">
                  <c:v>3.353437500000001</c:v>
                </c:pt>
                <c:pt idx="4">
                  <c:v>3.1397619047619045</c:v>
                </c:pt>
                <c:pt idx="5">
                  <c:v>2.9561259920634928</c:v>
                </c:pt>
                <c:pt idx="6">
                  <c:v>2.7999999994397609</c:v>
                </c:pt>
                <c:pt idx="7">
                  <c:v>2.671960227272729</c:v>
                </c:pt>
                <c:pt idx="8">
                  <c:v>2.5652861952861947</c:v>
                </c:pt>
                <c:pt idx="9">
                  <c:v>2.4759690656565638</c:v>
                </c:pt>
                <c:pt idx="10">
                  <c:v>2.3999999999665</c:v>
                </c:pt>
                <c:pt idx="11">
                  <c:v>2.3197048611111111</c:v>
                </c:pt>
                <c:pt idx="12">
                  <c:v>2.2458333333333318</c:v>
                </c:pt>
                <c:pt idx="13">
                  <c:v>2.1776562500000001</c:v>
                </c:pt>
                <c:pt idx="14">
                  <c:v>2.1144444444444455</c:v>
                </c:pt>
                <c:pt idx="15">
                  <c:v>2.0554687499999993</c:v>
                </c:pt>
                <c:pt idx="16">
                  <c:v>2</c:v>
                </c:pt>
                <c:pt idx="17">
                  <c:v>1.9423611111111119</c:v>
                </c:pt>
                <c:pt idx="18">
                  <c:v>1.8876190476190482</c:v>
                </c:pt>
                <c:pt idx="19">
                  <c:v>1.8358928571428574</c:v>
                </c:pt>
                <c:pt idx="20">
                  <c:v>1.7873015873015876</c:v>
                </c:pt>
                <c:pt idx="21">
                  <c:v>1.7419642857142859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767-41E7-9DA1-FE89A02D3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6167472"/>
        <c:axId val="1"/>
      </c:scatterChart>
      <c:valAx>
        <c:axId val="346167472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616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0419161676646706E-2"/>
          <c:y val="0.92757009345794394"/>
          <c:w val="0.91616766467065869"/>
          <c:h val="5.607476635514018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157162</xdr:rowOff>
    </xdr:from>
    <xdr:to>
      <xdr:col>11</xdr:col>
      <xdr:colOff>342900</xdr:colOff>
      <xdr:row>18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4C68BA-B087-4F43-B6DE-9A3DAA9110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</xdr:row>
      <xdr:rowOff>90487</xdr:rowOff>
    </xdr:from>
    <xdr:to>
      <xdr:col>12</xdr:col>
      <xdr:colOff>209550</xdr:colOff>
      <xdr:row>18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4721A9-A82E-475D-A351-42BA43423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790575</xdr:colOff>
      <xdr:row>32</xdr:row>
      <xdr:rowOff>57150</xdr:rowOff>
    </xdr:from>
    <xdr:to>
      <xdr:col>15</xdr:col>
      <xdr:colOff>238125</xdr:colOff>
      <xdr:row>59</xdr:row>
      <xdr:rowOff>47625</xdr:rowOff>
    </xdr:to>
    <xdr:graphicFrame macro="">
      <xdr:nvGraphicFramePr>
        <xdr:cNvPr id="1029" name="Chart 1">
          <a:extLst>
            <a:ext uri="{FF2B5EF4-FFF2-40B4-BE49-F238E27FC236}">
              <a16:creationId xmlns:a16="http://schemas.microsoft.com/office/drawing/2014/main" id="{00000000-0008-0000-04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371475</xdr:colOff>
      <xdr:row>59</xdr:row>
      <xdr:rowOff>152400</xdr:rowOff>
    </xdr:from>
    <xdr:to>
      <xdr:col>15</xdr:col>
      <xdr:colOff>619125</xdr:colOff>
      <xdr:row>86</xdr:row>
      <xdr:rowOff>28575</xdr:rowOff>
    </xdr:to>
    <xdr:graphicFrame macro="">
      <xdr:nvGraphicFramePr>
        <xdr:cNvPr id="1030" name="Chart 1">
          <a:extLst>
            <a:ext uri="{FF2B5EF4-FFF2-40B4-BE49-F238E27FC236}">
              <a16:creationId xmlns:a16="http://schemas.microsoft.com/office/drawing/2014/main" id="{00000000-0008-0000-04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600075</xdr:colOff>
      <xdr:row>107</xdr:row>
      <xdr:rowOff>12306300</xdr:rowOff>
    </xdr:from>
    <xdr:to>
      <xdr:col>17</xdr:col>
      <xdr:colOff>190500</xdr:colOff>
      <xdr:row>134</xdr:row>
      <xdr:rowOff>2057400</xdr:rowOff>
    </xdr:to>
    <xdr:graphicFrame macro="">
      <xdr:nvGraphicFramePr>
        <xdr:cNvPr id="1031" name="Chart 1">
          <a:extLst>
            <a:ext uri="{FF2B5EF4-FFF2-40B4-BE49-F238E27FC236}">
              <a16:creationId xmlns:a16="http://schemas.microsoft.com/office/drawing/2014/main" id="{00000000-0008-0000-04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676275</xdr:colOff>
      <xdr:row>135</xdr:row>
      <xdr:rowOff>10953750</xdr:rowOff>
    </xdr:from>
    <xdr:to>
      <xdr:col>17</xdr:col>
      <xdr:colOff>266700</xdr:colOff>
      <xdr:row>161</xdr:row>
      <xdr:rowOff>142875</xdr:rowOff>
    </xdr:to>
    <xdr:graphicFrame macro="">
      <xdr:nvGraphicFramePr>
        <xdr:cNvPr id="1032" name="Chart 1">
          <a:extLst>
            <a:ext uri="{FF2B5EF4-FFF2-40B4-BE49-F238E27FC236}">
              <a16:creationId xmlns:a16="http://schemas.microsoft.com/office/drawing/2014/main" id="{00000000-0008-0000-04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70</xdr:row>
      <xdr:rowOff>161925</xdr:rowOff>
    </xdr:from>
    <xdr:to>
      <xdr:col>15</xdr:col>
      <xdr:colOff>314325</xdr:colOff>
      <xdr:row>87</xdr:row>
      <xdr:rowOff>4772025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17</xdr:col>
      <xdr:colOff>276225</xdr:colOff>
      <xdr:row>55</xdr:row>
      <xdr:rowOff>2057400</xdr:rowOff>
    </xdr:to>
    <xdr:graphicFrame macro="">
      <xdr:nvGraphicFramePr>
        <xdr:cNvPr id="3074" name="Chart 1">
          <a:extLst>
            <a:ext uri="{FF2B5EF4-FFF2-40B4-BE49-F238E27FC236}">
              <a16:creationId xmlns:a16="http://schemas.microsoft.com/office/drawing/2014/main" id="{00000000-0008-0000-0600-00000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26</xdr:row>
      <xdr:rowOff>114300</xdr:rowOff>
    </xdr:from>
    <xdr:to>
      <xdr:col>19</xdr:col>
      <xdr:colOff>209550</xdr:colOff>
      <xdr:row>49</xdr:row>
      <xdr:rowOff>2771775</xdr:rowOff>
    </xdr:to>
    <xdr:graphicFrame macro="">
      <xdr:nvGraphicFramePr>
        <xdr:cNvPr id="4099" name="Chart 3">
          <a:extLst>
            <a:ext uri="{FF2B5EF4-FFF2-40B4-BE49-F238E27FC236}">
              <a16:creationId xmlns:a16="http://schemas.microsoft.com/office/drawing/2014/main" id="{00000000-0008-0000-0700-000003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65</xdr:row>
      <xdr:rowOff>57150</xdr:rowOff>
    </xdr:from>
    <xdr:to>
      <xdr:col>15</xdr:col>
      <xdr:colOff>419100</xdr:colOff>
      <xdr:row>89</xdr:row>
      <xdr:rowOff>0</xdr:rowOff>
    </xdr:to>
    <xdr:graphicFrame macro="">
      <xdr:nvGraphicFramePr>
        <xdr:cNvPr id="4100" name="Chart 4">
          <a:extLst>
            <a:ext uri="{FF2B5EF4-FFF2-40B4-BE49-F238E27FC236}">
              <a16:creationId xmlns:a16="http://schemas.microsoft.com/office/drawing/2014/main" id="{00000000-0008-0000-07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98</xdr:row>
      <xdr:rowOff>28575</xdr:rowOff>
    </xdr:from>
    <xdr:to>
      <xdr:col>12</xdr:col>
      <xdr:colOff>390525</xdr:colOff>
      <xdr:row>130</xdr:row>
      <xdr:rowOff>57150</xdr:rowOff>
    </xdr:to>
    <xdr:graphicFrame macro="">
      <xdr:nvGraphicFramePr>
        <xdr:cNvPr id="5122" name="Chart 1">
          <a:extLst>
            <a:ext uri="{FF2B5EF4-FFF2-40B4-BE49-F238E27FC236}">
              <a16:creationId xmlns:a16="http://schemas.microsoft.com/office/drawing/2014/main" id="{00000000-0008-0000-0800-000002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84</xdr:row>
      <xdr:rowOff>123825</xdr:rowOff>
    </xdr:from>
    <xdr:to>
      <xdr:col>10</xdr:col>
      <xdr:colOff>142875</xdr:colOff>
      <xdr:row>109</xdr:row>
      <xdr:rowOff>152400</xdr:rowOff>
    </xdr:to>
    <xdr:graphicFrame macro="">
      <xdr:nvGraphicFramePr>
        <xdr:cNvPr id="6146" name="Chart 1">
          <a:extLst>
            <a:ext uri="{FF2B5EF4-FFF2-40B4-BE49-F238E27FC236}">
              <a16:creationId xmlns:a16="http://schemas.microsoft.com/office/drawing/2014/main" id="{00000000-0008-0000-0A00-000002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peltiertech.com/WordPress/excel-interpolation-formulas/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hyperlink" Target="http://www.interactiveds.com.au/" TargetMode="External"/><Relationship Id="rId1" Type="http://schemas.openxmlformats.org/officeDocument/2006/relationships/hyperlink" Target="http://newtonexcelbach.wordpres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24"/>
  <sheetViews>
    <sheetView workbookViewId="0">
      <selection activeCell="F23" sqref="F23"/>
    </sheetView>
  </sheetViews>
  <sheetFormatPr defaultRowHeight="12.75" x14ac:dyDescent="0.2"/>
  <sheetData>
    <row r="1" spans="2:3" x14ac:dyDescent="0.2">
      <c r="B1" s="3" t="s">
        <v>322</v>
      </c>
    </row>
    <row r="2" spans="2:3" x14ac:dyDescent="0.2">
      <c r="B2" s="3"/>
    </row>
    <row r="3" spans="2:3" x14ac:dyDescent="0.2">
      <c r="B3" s="3" t="s">
        <v>320</v>
      </c>
      <c r="C3" s="3" t="s">
        <v>321</v>
      </c>
    </row>
    <row r="4" spans="2:3" x14ac:dyDescent="0.2">
      <c r="B4">
        <v>1963</v>
      </c>
      <c r="C4">
        <v>487</v>
      </c>
    </row>
    <row r="5" spans="2:3" x14ac:dyDescent="0.2">
      <c r="B5">
        <v>1974</v>
      </c>
      <c r="C5">
        <v>791</v>
      </c>
    </row>
    <row r="6" spans="2:3" x14ac:dyDescent="0.2">
      <c r="B6">
        <v>1981</v>
      </c>
      <c r="C6">
        <v>1188</v>
      </c>
    </row>
    <row r="7" spans="2:3" x14ac:dyDescent="0.2">
      <c r="B7">
        <v>1984</v>
      </c>
      <c r="C7">
        <v>1757</v>
      </c>
    </row>
    <row r="8" spans="2:3" x14ac:dyDescent="0.2">
      <c r="B8">
        <v>1986</v>
      </c>
      <c r="C8">
        <v>1875</v>
      </c>
    </row>
    <row r="9" spans="2:3" x14ac:dyDescent="0.2">
      <c r="B9">
        <v>1987</v>
      </c>
      <c r="C9">
        <v>2238</v>
      </c>
    </row>
    <row r="10" spans="2:3" x14ac:dyDescent="0.2">
      <c r="B10">
        <v>1988</v>
      </c>
      <c r="C10">
        <v>2475</v>
      </c>
    </row>
    <row r="11" spans="2:3" x14ac:dyDescent="0.2">
      <c r="B11">
        <v>1989</v>
      </c>
      <c r="C11">
        <v>2680</v>
      </c>
    </row>
    <row r="12" spans="2:3" x14ac:dyDescent="0.2">
      <c r="B12">
        <v>1990</v>
      </c>
      <c r="C12">
        <v>3035</v>
      </c>
    </row>
    <row r="13" spans="2:3" x14ac:dyDescent="0.2">
      <c r="B13">
        <v>1991</v>
      </c>
      <c r="C13">
        <v>3399</v>
      </c>
    </row>
    <row r="14" spans="2:3" x14ac:dyDescent="0.2">
      <c r="B14">
        <v>1992</v>
      </c>
      <c r="C14">
        <v>3749</v>
      </c>
    </row>
    <row r="15" spans="2:3" x14ac:dyDescent="0.2">
      <c r="B15">
        <v>1993</v>
      </c>
      <c r="C15">
        <v>4015</v>
      </c>
    </row>
    <row r="16" spans="2:3" x14ac:dyDescent="0.2">
      <c r="B16">
        <v>1994</v>
      </c>
      <c r="C16">
        <v>4449</v>
      </c>
    </row>
    <row r="17" spans="2:3" x14ac:dyDescent="0.2">
      <c r="B17">
        <v>1995</v>
      </c>
      <c r="C17">
        <v>4712</v>
      </c>
    </row>
    <row r="18" spans="2:3" x14ac:dyDescent="0.2">
      <c r="B18">
        <v>1996</v>
      </c>
      <c r="C18">
        <v>5094</v>
      </c>
    </row>
    <row r="19" spans="2:3" x14ac:dyDescent="0.2">
      <c r="B19">
        <v>1997</v>
      </c>
      <c r="C19">
        <v>5295</v>
      </c>
    </row>
    <row r="20" spans="2:3" x14ac:dyDescent="0.2">
      <c r="B20">
        <v>1998</v>
      </c>
      <c r="C20">
        <v>5748</v>
      </c>
    </row>
    <row r="21" spans="2:3" x14ac:dyDescent="0.2">
      <c r="B21">
        <v>1999</v>
      </c>
      <c r="C21">
        <v>6404</v>
      </c>
    </row>
    <row r="22" spans="2:3" x14ac:dyDescent="0.2">
      <c r="B22">
        <v>2000</v>
      </c>
      <c r="C22">
        <v>6471</v>
      </c>
    </row>
    <row r="23" spans="2:3" x14ac:dyDescent="0.2">
      <c r="B23">
        <v>2005</v>
      </c>
      <c r="C23">
        <v>7066</v>
      </c>
    </row>
    <row r="24" spans="2:3" x14ac:dyDescent="0.2">
      <c r="B24">
        <v>2006</v>
      </c>
      <c r="C24">
        <v>9789</v>
      </c>
    </row>
  </sheetData>
  <sortState ref="B4:C24">
    <sortCondition ref="B4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06"/>
  <sheetViews>
    <sheetView tabSelected="1" workbookViewId="0">
      <selection activeCell="H23" sqref="H23"/>
    </sheetView>
  </sheetViews>
  <sheetFormatPr defaultRowHeight="12.75" x14ac:dyDescent="0.2"/>
  <cols>
    <col min="2" max="2" width="20.28515625" customWidth="1"/>
    <col min="3" max="3" width="23.140625" customWidth="1"/>
    <col min="4" max="4" width="22.5703125" customWidth="1"/>
  </cols>
  <sheetData>
    <row r="2" spans="2:4" ht="15.75" customHeight="1" x14ac:dyDescent="0.2">
      <c r="B2" s="50" t="s">
        <v>323</v>
      </c>
      <c r="C2" s="50" t="s">
        <v>338</v>
      </c>
      <c r="D2" s="50" t="s">
        <v>324</v>
      </c>
    </row>
    <row r="3" spans="2:4" x14ac:dyDescent="0.2">
      <c r="B3" t="s">
        <v>403</v>
      </c>
      <c r="C3">
        <v>338115</v>
      </c>
      <c r="D3">
        <v>22.9</v>
      </c>
    </row>
    <row r="4" spans="2:4" x14ac:dyDescent="0.2">
      <c r="B4" t="s">
        <v>381</v>
      </c>
      <c r="C4">
        <v>459843</v>
      </c>
      <c r="D4">
        <v>24.5</v>
      </c>
    </row>
    <row r="5" spans="2:4" x14ac:dyDescent="0.2">
      <c r="B5" t="s">
        <v>385</v>
      </c>
      <c r="C5">
        <v>408822</v>
      </c>
      <c r="D5">
        <v>23.2</v>
      </c>
    </row>
    <row r="6" spans="2:4" x14ac:dyDescent="0.2">
      <c r="B6" t="s">
        <v>394</v>
      </c>
      <c r="C6">
        <v>377918</v>
      </c>
      <c r="D6">
        <v>24.6</v>
      </c>
    </row>
    <row r="7" spans="2:4" x14ac:dyDescent="0.2">
      <c r="B7" t="s">
        <v>333</v>
      </c>
      <c r="C7">
        <v>2813125</v>
      </c>
      <c r="D7">
        <v>32.4</v>
      </c>
    </row>
    <row r="8" spans="2:4" x14ac:dyDescent="0.2">
      <c r="B8" t="s">
        <v>425</v>
      </c>
      <c r="C8">
        <v>251625</v>
      </c>
      <c r="D8">
        <v>24.2</v>
      </c>
    </row>
    <row r="9" spans="2:4" x14ac:dyDescent="0.2">
      <c r="B9" t="s">
        <v>352</v>
      </c>
      <c r="C9">
        <v>1094341</v>
      </c>
      <c r="D9">
        <v>27</v>
      </c>
    </row>
    <row r="10" spans="2:4" x14ac:dyDescent="0.2">
      <c r="B10" t="s">
        <v>402</v>
      </c>
      <c r="C10">
        <v>338485</v>
      </c>
      <c r="D10">
        <v>23.6</v>
      </c>
    </row>
    <row r="11" spans="2:4" x14ac:dyDescent="0.2">
      <c r="B11" t="s">
        <v>344</v>
      </c>
      <c r="C11">
        <v>1386285</v>
      </c>
      <c r="D11">
        <v>30.1</v>
      </c>
    </row>
    <row r="12" spans="2:4" x14ac:dyDescent="0.2">
      <c r="B12" t="s">
        <v>389</v>
      </c>
      <c r="C12">
        <v>389028</v>
      </c>
      <c r="D12">
        <v>27.5</v>
      </c>
    </row>
    <row r="13" spans="2:4" x14ac:dyDescent="0.2">
      <c r="B13" t="s">
        <v>377</v>
      </c>
      <c r="C13">
        <v>509902</v>
      </c>
      <c r="D13">
        <v>26.1</v>
      </c>
    </row>
    <row r="14" spans="2:4" x14ac:dyDescent="0.2">
      <c r="B14" t="s">
        <v>405</v>
      </c>
      <c r="C14">
        <v>322913</v>
      </c>
      <c r="D14">
        <v>22.1</v>
      </c>
    </row>
    <row r="15" spans="2:4" x14ac:dyDescent="0.2">
      <c r="B15" t="s">
        <v>334</v>
      </c>
      <c r="C15">
        <v>2713477</v>
      </c>
      <c r="D15">
        <v>32.700000000000003</v>
      </c>
    </row>
    <row r="16" spans="2:4" x14ac:dyDescent="0.2">
      <c r="B16" t="s">
        <v>379</v>
      </c>
      <c r="C16">
        <v>480143</v>
      </c>
      <c r="D16">
        <v>27.7</v>
      </c>
    </row>
    <row r="17" spans="2:4" x14ac:dyDescent="0.2">
      <c r="B17" t="s">
        <v>375</v>
      </c>
      <c r="C17">
        <v>538371</v>
      </c>
      <c r="D17">
        <v>22</v>
      </c>
    </row>
    <row r="18" spans="2:4" x14ac:dyDescent="0.2">
      <c r="B18" t="s">
        <v>413</v>
      </c>
      <c r="C18">
        <v>285139</v>
      </c>
      <c r="D18">
        <v>26.3</v>
      </c>
    </row>
    <row r="19" spans="2:4" x14ac:dyDescent="0.2">
      <c r="B19" t="s">
        <v>397</v>
      </c>
      <c r="C19">
        <v>365394</v>
      </c>
      <c r="D19">
        <v>26.2</v>
      </c>
    </row>
    <row r="20" spans="2:4" x14ac:dyDescent="0.2">
      <c r="B20" t="s">
        <v>347</v>
      </c>
      <c r="C20">
        <v>1217715</v>
      </c>
      <c r="D20">
        <v>27.1</v>
      </c>
    </row>
    <row r="21" spans="2:4" x14ac:dyDescent="0.2">
      <c r="B21" t="s">
        <v>419</v>
      </c>
      <c r="C21">
        <v>258558</v>
      </c>
      <c r="D21">
        <v>24.7</v>
      </c>
    </row>
    <row r="22" spans="2:4" x14ac:dyDescent="0.2">
      <c r="B22" t="s">
        <v>327</v>
      </c>
      <c r="C22">
        <v>4678362</v>
      </c>
      <c r="D22">
        <v>32</v>
      </c>
    </row>
    <row r="23" spans="2:4" x14ac:dyDescent="0.2">
      <c r="B23" t="s">
        <v>355</v>
      </c>
      <c r="C23">
        <v>1058005</v>
      </c>
      <c r="D23">
        <v>25.2</v>
      </c>
    </row>
    <row r="24" spans="2:4" x14ac:dyDescent="0.2">
      <c r="B24" t="s">
        <v>357</v>
      </c>
      <c r="C24">
        <v>1018031</v>
      </c>
      <c r="D24">
        <v>25.5</v>
      </c>
    </row>
    <row r="25" spans="2:4" x14ac:dyDescent="0.2">
      <c r="B25" t="s">
        <v>401</v>
      </c>
      <c r="C25">
        <v>342792</v>
      </c>
      <c r="D25">
        <v>21.8</v>
      </c>
    </row>
    <row r="26" spans="2:4" x14ac:dyDescent="0.2">
      <c r="B26" t="s">
        <v>388</v>
      </c>
      <c r="C26">
        <v>398787</v>
      </c>
      <c r="D26">
        <v>25</v>
      </c>
    </row>
    <row r="27" spans="2:4" x14ac:dyDescent="0.2">
      <c r="B27" t="s">
        <v>356</v>
      </c>
      <c r="C27">
        <v>1043492</v>
      </c>
      <c r="D27">
        <v>24.8</v>
      </c>
    </row>
    <row r="28" spans="2:4" x14ac:dyDescent="0.2">
      <c r="B28" t="s">
        <v>328</v>
      </c>
      <c r="C28">
        <v>3587499</v>
      </c>
      <c r="D28">
        <v>28.8</v>
      </c>
    </row>
    <row r="29" spans="2:4" x14ac:dyDescent="0.2">
      <c r="B29" t="s">
        <v>392</v>
      </c>
      <c r="C29">
        <v>386283</v>
      </c>
      <c r="D29">
        <v>22.2</v>
      </c>
    </row>
    <row r="30" spans="2:4" x14ac:dyDescent="0.2">
      <c r="B30" t="s">
        <v>343</v>
      </c>
      <c r="C30">
        <v>1507985</v>
      </c>
      <c r="D30">
        <v>27.6</v>
      </c>
    </row>
    <row r="31" spans="2:4" x14ac:dyDescent="0.2">
      <c r="B31" t="s">
        <v>400</v>
      </c>
      <c r="C31">
        <v>346177</v>
      </c>
      <c r="D31">
        <v>20.9</v>
      </c>
    </row>
    <row r="32" spans="2:4" x14ac:dyDescent="0.2">
      <c r="B32" t="s">
        <v>339</v>
      </c>
      <c r="C32">
        <v>1980849</v>
      </c>
      <c r="D32">
        <v>27.5</v>
      </c>
    </row>
    <row r="33" spans="2:4" x14ac:dyDescent="0.2">
      <c r="B33" t="s">
        <v>406</v>
      </c>
      <c r="C33">
        <v>317916</v>
      </c>
      <c r="D33">
        <v>26.5</v>
      </c>
    </row>
    <row r="34" spans="2:4" x14ac:dyDescent="0.2">
      <c r="B34" t="s">
        <v>398</v>
      </c>
      <c r="C34">
        <v>362178</v>
      </c>
      <c r="D34">
        <v>23</v>
      </c>
    </row>
    <row r="35" spans="2:4" x14ac:dyDescent="0.2">
      <c r="B35" t="s">
        <v>426</v>
      </c>
      <c r="C35">
        <v>251616</v>
      </c>
      <c r="D35">
        <v>21.1</v>
      </c>
    </row>
    <row r="36" spans="2:4" x14ac:dyDescent="0.2">
      <c r="B36" t="s">
        <v>393</v>
      </c>
      <c r="C36">
        <v>380245</v>
      </c>
      <c r="D36">
        <v>22.1</v>
      </c>
    </row>
    <row r="37" spans="2:4" x14ac:dyDescent="0.2">
      <c r="B37" t="s">
        <v>374</v>
      </c>
      <c r="C37">
        <v>542448</v>
      </c>
      <c r="D37">
        <v>22.1</v>
      </c>
    </row>
    <row r="38" spans="2:4" x14ac:dyDescent="0.2">
      <c r="B38" t="s">
        <v>396</v>
      </c>
      <c r="C38">
        <v>365706</v>
      </c>
      <c r="D38">
        <v>22.9</v>
      </c>
    </row>
    <row r="39" spans="2:4" x14ac:dyDescent="0.2">
      <c r="B39" t="s">
        <v>384</v>
      </c>
      <c r="C39">
        <v>412437</v>
      </c>
      <c r="D39">
        <v>23.6</v>
      </c>
    </row>
    <row r="40" spans="2:4" x14ac:dyDescent="0.2">
      <c r="B40" t="s">
        <v>404</v>
      </c>
      <c r="C40">
        <v>327202</v>
      </c>
      <c r="D40">
        <v>25.4</v>
      </c>
    </row>
    <row r="41" spans="2:4" x14ac:dyDescent="0.2">
      <c r="B41" t="s">
        <v>369</v>
      </c>
      <c r="C41">
        <v>643153</v>
      </c>
      <c r="D41">
        <v>25.3</v>
      </c>
    </row>
    <row r="42" spans="2:4" x14ac:dyDescent="0.2">
      <c r="B42" t="s">
        <v>330</v>
      </c>
      <c r="C42">
        <v>3165110</v>
      </c>
      <c r="D42">
        <v>30.2</v>
      </c>
    </row>
    <row r="43" spans="2:4" x14ac:dyDescent="0.2">
      <c r="B43" t="s">
        <v>360</v>
      </c>
      <c r="C43">
        <v>995220</v>
      </c>
      <c r="D43">
        <v>25.1</v>
      </c>
    </row>
    <row r="44" spans="2:4" x14ac:dyDescent="0.2">
      <c r="B44" t="s">
        <v>417</v>
      </c>
      <c r="C44">
        <v>265199</v>
      </c>
      <c r="D44">
        <v>25.3</v>
      </c>
    </row>
    <row r="45" spans="2:4" x14ac:dyDescent="0.2">
      <c r="B45" t="s">
        <v>365</v>
      </c>
      <c r="C45">
        <v>702461</v>
      </c>
      <c r="D45">
        <v>27.9</v>
      </c>
    </row>
    <row r="46" spans="2:4" x14ac:dyDescent="0.2">
      <c r="B46" t="s">
        <v>354</v>
      </c>
      <c r="C46">
        <v>1073348</v>
      </c>
      <c r="D46">
        <v>23.6</v>
      </c>
    </row>
    <row r="47" spans="2:4" x14ac:dyDescent="0.2">
      <c r="B47" t="s">
        <v>387</v>
      </c>
      <c r="C47">
        <v>400618</v>
      </c>
      <c r="D47">
        <v>24.1</v>
      </c>
    </row>
    <row r="48" spans="2:4" x14ac:dyDescent="0.2">
      <c r="B48" t="s">
        <v>422</v>
      </c>
      <c r="C48">
        <v>253994</v>
      </c>
      <c r="D48">
        <v>24.5</v>
      </c>
    </row>
    <row r="49" spans="2:4" x14ac:dyDescent="0.2">
      <c r="B49" t="s">
        <v>420</v>
      </c>
      <c r="C49">
        <v>257194</v>
      </c>
      <c r="D49">
        <v>23.4</v>
      </c>
    </row>
    <row r="50" spans="2:4" x14ac:dyDescent="0.2">
      <c r="B50" t="s">
        <v>428</v>
      </c>
      <c r="C50">
        <v>239001</v>
      </c>
      <c r="D50">
        <v>22.7</v>
      </c>
    </row>
    <row r="51" spans="2:4" x14ac:dyDescent="0.2">
      <c r="B51" t="s">
        <v>359</v>
      </c>
      <c r="C51">
        <v>1002920</v>
      </c>
      <c r="D51">
        <v>24.7</v>
      </c>
    </row>
    <row r="52" spans="2:4" x14ac:dyDescent="0.2">
      <c r="B52" t="s">
        <v>414</v>
      </c>
      <c r="C52">
        <v>279525</v>
      </c>
      <c r="D52">
        <v>24.9</v>
      </c>
    </row>
    <row r="53" spans="2:4" x14ac:dyDescent="0.2">
      <c r="B53" t="s">
        <v>399</v>
      </c>
      <c r="C53">
        <v>352277</v>
      </c>
      <c r="D53">
        <v>23.3</v>
      </c>
    </row>
    <row r="54" spans="2:4" x14ac:dyDescent="0.2">
      <c r="B54" t="s">
        <v>326</v>
      </c>
      <c r="C54">
        <v>6534086</v>
      </c>
      <c r="D54">
        <v>32</v>
      </c>
    </row>
    <row r="55" spans="2:4" x14ac:dyDescent="0.2">
      <c r="B55" t="s">
        <v>370</v>
      </c>
      <c r="C55">
        <v>641695</v>
      </c>
      <c r="D55">
        <v>25.2</v>
      </c>
    </row>
    <row r="56" spans="2:4" x14ac:dyDescent="0.2">
      <c r="B56" t="s">
        <v>391</v>
      </c>
      <c r="C56">
        <v>388286</v>
      </c>
      <c r="D56">
        <v>23.5</v>
      </c>
    </row>
    <row r="57" spans="2:4" x14ac:dyDescent="0.2">
      <c r="B57" t="s">
        <v>411</v>
      </c>
      <c r="C57">
        <v>297714</v>
      </c>
      <c r="D57">
        <v>20.8</v>
      </c>
    </row>
    <row r="58" spans="2:4" x14ac:dyDescent="0.2">
      <c r="B58" t="s">
        <v>372</v>
      </c>
      <c r="C58">
        <v>616476</v>
      </c>
      <c r="D58">
        <v>25.2</v>
      </c>
    </row>
    <row r="59" spans="2:4" x14ac:dyDescent="0.2">
      <c r="B59" t="s">
        <v>331</v>
      </c>
      <c r="C59">
        <v>2879728</v>
      </c>
      <c r="D59">
        <v>29.7</v>
      </c>
    </row>
    <row r="60" spans="2:4" x14ac:dyDescent="0.2">
      <c r="B60" t="s">
        <v>363</v>
      </c>
      <c r="C60">
        <v>817990</v>
      </c>
      <c r="D60">
        <v>23.6</v>
      </c>
    </row>
    <row r="61" spans="2:4" x14ac:dyDescent="0.2">
      <c r="B61" t="s">
        <v>340</v>
      </c>
      <c r="C61">
        <v>1919130</v>
      </c>
      <c r="D61">
        <v>25.8</v>
      </c>
    </row>
    <row r="62" spans="2:4" x14ac:dyDescent="0.2">
      <c r="B62" t="s">
        <v>361</v>
      </c>
      <c r="C62">
        <v>968587</v>
      </c>
      <c r="D62">
        <v>28.5</v>
      </c>
    </row>
    <row r="63" spans="2:4" x14ac:dyDescent="0.2">
      <c r="B63" t="s">
        <v>390</v>
      </c>
      <c r="C63">
        <v>388881</v>
      </c>
      <c r="D63">
        <v>22.9</v>
      </c>
    </row>
    <row r="64" spans="2:4" x14ac:dyDescent="0.2">
      <c r="B64" t="s">
        <v>373</v>
      </c>
      <c r="C64">
        <v>610399</v>
      </c>
      <c r="D64">
        <v>27.3</v>
      </c>
    </row>
    <row r="65" spans="2:4" x14ac:dyDescent="0.2">
      <c r="B65" t="s">
        <v>325</v>
      </c>
      <c r="C65">
        <v>9769460</v>
      </c>
      <c r="D65">
        <v>37.299999999999997</v>
      </c>
    </row>
    <row r="66" spans="2:4" x14ac:dyDescent="0.2">
      <c r="B66" t="s">
        <v>408</v>
      </c>
      <c r="C66">
        <v>312492</v>
      </c>
      <c r="D66">
        <v>25.7</v>
      </c>
    </row>
    <row r="67" spans="2:4" x14ac:dyDescent="0.2">
      <c r="B67" t="s">
        <v>427</v>
      </c>
      <c r="C67">
        <v>248415</v>
      </c>
      <c r="D67">
        <v>19.2</v>
      </c>
    </row>
    <row r="68" spans="2:4" x14ac:dyDescent="0.2">
      <c r="B68" t="s">
        <v>367</v>
      </c>
      <c r="C68">
        <v>653773</v>
      </c>
      <c r="D68">
        <v>22.9</v>
      </c>
    </row>
    <row r="69" spans="2:4" x14ac:dyDescent="0.2">
      <c r="B69" t="s">
        <v>380</v>
      </c>
      <c r="C69">
        <v>476423</v>
      </c>
      <c r="D69">
        <v>20.7</v>
      </c>
    </row>
    <row r="70" spans="2:4" x14ac:dyDescent="0.2">
      <c r="B70" t="s">
        <v>349</v>
      </c>
      <c r="C70">
        <v>1213874</v>
      </c>
      <c r="D70">
        <v>29.3</v>
      </c>
    </row>
    <row r="71" spans="2:4" x14ac:dyDescent="0.2">
      <c r="B71" t="s">
        <v>395</v>
      </c>
      <c r="C71">
        <v>374613</v>
      </c>
      <c r="D71">
        <v>23.9</v>
      </c>
    </row>
    <row r="72" spans="2:4" x14ac:dyDescent="0.2">
      <c r="B72" t="s">
        <v>332</v>
      </c>
      <c r="C72">
        <v>2862712</v>
      </c>
      <c r="D72">
        <v>29.6</v>
      </c>
    </row>
    <row r="73" spans="2:4" x14ac:dyDescent="0.2">
      <c r="B73" t="s">
        <v>336</v>
      </c>
      <c r="C73">
        <v>2104781</v>
      </c>
      <c r="D73">
        <v>26.4</v>
      </c>
    </row>
    <row r="74" spans="2:4" x14ac:dyDescent="0.2">
      <c r="B74" t="s">
        <v>350</v>
      </c>
      <c r="C74">
        <v>1145218</v>
      </c>
      <c r="D74">
        <v>27.1</v>
      </c>
    </row>
    <row r="75" spans="2:4" x14ac:dyDescent="0.2">
      <c r="B75" t="s">
        <v>416</v>
      </c>
      <c r="C75">
        <v>273656</v>
      </c>
      <c r="D75">
        <v>24.2</v>
      </c>
    </row>
    <row r="76" spans="2:4" x14ac:dyDescent="0.2">
      <c r="B76" t="s">
        <v>348</v>
      </c>
      <c r="C76">
        <v>1215921</v>
      </c>
      <c r="D76">
        <v>27.6</v>
      </c>
    </row>
    <row r="77" spans="2:4" x14ac:dyDescent="0.2">
      <c r="B77" t="s">
        <v>364</v>
      </c>
      <c r="C77">
        <v>717627</v>
      </c>
      <c r="D77">
        <v>23.4</v>
      </c>
    </row>
    <row r="78" spans="2:4" x14ac:dyDescent="0.2">
      <c r="B78" t="s">
        <v>424</v>
      </c>
      <c r="C78">
        <v>253053</v>
      </c>
      <c r="D78">
        <v>19.100000000000001</v>
      </c>
    </row>
    <row r="79" spans="2:4" x14ac:dyDescent="0.2">
      <c r="B79" t="s">
        <v>368</v>
      </c>
      <c r="C79">
        <v>651332</v>
      </c>
      <c r="D79">
        <v>26.1</v>
      </c>
    </row>
    <row r="80" spans="2:4" x14ac:dyDescent="0.2">
      <c r="B80" t="s">
        <v>371</v>
      </c>
      <c r="C80">
        <v>640788</v>
      </c>
      <c r="D80">
        <v>25.6</v>
      </c>
    </row>
    <row r="81" spans="2:4" x14ac:dyDescent="0.2">
      <c r="B81" t="s">
        <v>342</v>
      </c>
      <c r="C81">
        <v>1620284</v>
      </c>
      <c r="D81">
        <v>27.4</v>
      </c>
    </row>
    <row r="82" spans="2:4" x14ac:dyDescent="0.2">
      <c r="B82" t="s">
        <v>376</v>
      </c>
      <c r="C82">
        <v>520446</v>
      </c>
      <c r="D82">
        <v>21.8</v>
      </c>
    </row>
    <row r="83" spans="2:4" x14ac:dyDescent="0.2">
      <c r="B83" t="s">
        <v>358</v>
      </c>
      <c r="C83">
        <v>1012873</v>
      </c>
      <c r="D83">
        <v>26.2</v>
      </c>
    </row>
    <row r="84" spans="2:4" x14ac:dyDescent="0.2">
      <c r="B84" t="s">
        <v>366</v>
      </c>
      <c r="C84">
        <v>680498</v>
      </c>
      <c r="D84">
        <v>24.8</v>
      </c>
    </row>
    <row r="85" spans="2:4" x14ac:dyDescent="0.2">
      <c r="B85" t="s">
        <v>351</v>
      </c>
      <c r="C85">
        <v>1101898</v>
      </c>
      <c r="D85">
        <v>26.4</v>
      </c>
    </row>
    <row r="86" spans="2:4" x14ac:dyDescent="0.2">
      <c r="B86" t="s">
        <v>341</v>
      </c>
      <c r="C86">
        <v>1645897</v>
      </c>
      <c r="D86">
        <v>26.8</v>
      </c>
    </row>
    <row r="87" spans="2:4" x14ac:dyDescent="0.2">
      <c r="B87" t="s">
        <v>335</v>
      </c>
      <c r="C87">
        <v>2410269</v>
      </c>
      <c r="D87">
        <v>35.299999999999997</v>
      </c>
    </row>
    <row r="88" spans="2:4" x14ac:dyDescent="0.2">
      <c r="B88" t="s">
        <v>353</v>
      </c>
      <c r="C88">
        <v>1087658</v>
      </c>
      <c r="D88">
        <v>33</v>
      </c>
    </row>
    <row r="89" spans="2:4" x14ac:dyDescent="0.2">
      <c r="B89" t="s">
        <v>429</v>
      </c>
      <c r="C89">
        <v>236464</v>
      </c>
      <c r="D89">
        <v>23.6</v>
      </c>
    </row>
    <row r="90" spans="2:4" x14ac:dyDescent="0.2">
      <c r="B90" t="s">
        <v>423</v>
      </c>
      <c r="C90">
        <v>253081</v>
      </c>
      <c r="D90">
        <v>22</v>
      </c>
    </row>
    <row r="91" spans="2:4" x14ac:dyDescent="0.2">
      <c r="B91" t="s">
        <v>337</v>
      </c>
      <c r="C91">
        <v>1989476</v>
      </c>
      <c r="D91">
        <v>31.6</v>
      </c>
    </row>
    <row r="92" spans="2:4" x14ac:dyDescent="0.2">
      <c r="B92" t="s">
        <v>421</v>
      </c>
      <c r="C92">
        <v>255636</v>
      </c>
      <c r="D92">
        <v>22.7</v>
      </c>
    </row>
    <row r="93" spans="2:4" x14ac:dyDescent="0.2">
      <c r="B93" t="s">
        <v>412</v>
      </c>
      <c r="C93">
        <v>287678</v>
      </c>
      <c r="D93">
        <v>22</v>
      </c>
    </row>
    <row r="94" spans="2:4" x14ac:dyDescent="0.2">
      <c r="B94" t="s">
        <v>345</v>
      </c>
      <c r="C94">
        <v>1386219</v>
      </c>
      <c r="D94">
        <v>26.3</v>
      </c>
    </row>
    <row r="95" spans="2:4" x14ac:dyDescent="0.2">
      <c r="B95" t="s">
        <v>418</v>
      </c>
      <c r="C95">
        <v>264518</v>
      </c>
      <c r="D95">
        <v>25.1</v>
      </c>
    </row>
    <row r="96" spans="2:4" x14ac:dyDescent="0.2">
      <c r="B96" t="s">
        <v>407</v>
      </c>
      <c r="C96">
        <v>312879</v>
      </c>
      <c r="D96">
        <v>21.3</v>
      </c>
    </row>
    <row r="97" spans="2:4" x14ac:dyDescent="0.2">
      <c r="B97" t="s">
        <v>346</v>
      </c>
      <c r="C97">
        <v>1351854</v>
      </c>
      <c r="D97">
        <v>26.9</v>
      </c>
    </row>
    <row r="98" spans="2:4" x14ac:dyDescent="0.2">
      <c r="B98" t="s">
        <v>410</v>
      </c>
      <c r="C98">
        <v>307689</v>
      </c>
      <c r="D98">
        <v>21.7</v>
      </c>
    </row>
    <row r="99" spans="2:4" x14ac:dyDescent="0.2">
      <c r="B99" t="s">
        <v>383</v>
      </c>
      <c r="C99">
        <v>430233</v>
      </c>
      <c r="D99">
        <v>24.3</v>
      </c>
    </row>
    <row r="100" spans="2:4" x14ac:dyDescent="0.2">
      <c r="B100" t="s">
        <v>382</v>
      </c>
      <c r="C100">
        <v>457298</v>
      </c>
      <c r="D100">
        <v>22.2</v>
      </c>
    </row>
    <row r="101" spans="2:4" x14ac:dyDescent="0.2">
      <c r="B101" t="s">
        <v>378</v>
      </c>
      <c r="C101">
        <v>506544</v>
      </c>
      <c r="D101">
        <v>29</v>
      </c>
    </row>
    <row r="102" spans="2:4" x14ac:dyDescent="0.2">
      <c r="B102" t="s">
        <v>362</v>
      </c>
      <c r="C102">
        <v>872526</v>
      </c>
      <c r="D102">
        <v>24.2</v>
      </c>
    </row>
    <row r="103" spans="2:4" x14ac:dyDescent="0.2">
      <c r="B103" t="s">
        <v>329</v>
      </c>
      <c r="C103">
        <v>3402169</v>
      </c>
      <c r="D103">
        <v>36.299999999999997</v>
      </c>
    </row>
    <row r="104" spans="2:4" x14ac:dyDescent="0.2">
      <c r="B104" t="s">
        <v>409</v>
      </c>
      <c r="C104">
        <v>309187</v>
      </c>
      <c r="D104">
        <v>19.7</v>
      </c>
    </row>
    <row r="105" spans="2:4" x14ac:dyDescent="0.2">
      <c r="B105" t="s">
        <v>415</v>
      </c>
      <c r="C105">
        <v>277565</v>
      </c>
      <c r="D105">
        <v>22.2</v>
      </c>
    </row>
    <row r="106" spans="2:4" x14ac:dyDescent="0.2">
      <c r="B106" t="s">
        <v>386</v>
      </c>
      <c r="C106">
        <v>403207</v>
      </c>
      <c r="D106">
        <v>25</v>
      </c>
    </row>
  </sheetData>
  <sortState ref="B3:D106">
    <sortCondition ref="B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81"/>
  <sheetViews>
    <sheetView topLeftCell="A16" zoomScaleNormal="100" workbookViewId="0">
      <selection activeCell="F33" sqref="F33"/>
    </sheetView>
  </sheetViews>
  <sheetFormatPr defaultRowHeight="12.75" x14ac:dyDescent="0.2"/>
  <cols>
    <col min="1" max="1" width="19.42578125" customWidth="1"/>
    <col min="2" max="2" width="12.5703125" bestFit="1" customWidth="1"/>
    <col min="3" max="3" width="9.85546875" bestFit="1" customWidth="1"/>
    <col min="4" max="4" width="10.140625" bestFit="1" customWidth="1"/>
    <col min="5" max="5" width="13.140625" bestFit="1" customWidth="1"/>
    <col min="6" max="6" width="11" customWidth="1"/>
    <col min="7" max="7" width="14.5703125" customWidth="1"/>
    <col min="8" max="8" width="12" customWidth="1"/>
    <col min="9" max="9" width="13.140625" bestFit="1" customWidth="1"/>
    <col min="10" max="10" width="13.140625" customWidth="1"/>
    <col min="11" max="11" width="10.28515625" customWidth="1"/>
    <col min="12" max="12" width="13.140625" bestFit="1" customWidth="1"/>
    <col min="13" max="13" width="16.7109375" bestFit="1" customWidth="1"/>
    <col min="14" max="14" width="12.5703125" bestFit="1" customWidth="1"/>
    <col min="15" max="15" width="15.7109375" bestFit="1" customWidth="1"/>
    <col min="16" max="17" width="11.28515625" bestFit="1" customWidth="1"/>
    <col min="18" max="19" width="13.5703125" bestFit="1" customWidth="1"/>
    <col min="20" max="20" width="12.7109375" bestFit="1" customWidth="1"/>
    <col min="21" max="24" width="10.28515625" bestFit="1" customWidth="1"/>
    <col min="25" max="27" width="9.28515625" bestFit="1" customWidth="1"/>
    <col min="28" max="28" width="10.28515625" bestFit="1" customWidth="1"/>
    <col min="29" max="31" width="9.28515625" bestFit="1" customWidth="1"/>
  </cols>
  <sheetData>
    <row r="1" spans="1:12" ht="15" x14ac:dyDescent="0.25">
      <c r="A1" s="9" t="s">
        <v>4</v>
      </c>
    </row>
    <row r="3" spans="1:12" x14ac:dyDescent="0.2">
      <c r="A3" s="3" t="s">
        <v>15</v>
      </c>
    </row>
    <row r="4" spans="1:12" x14ac:dyDescent="0.2">
      <c r="A4" s="10" t="s">
        <v>310</v>
      </c>
    </row>
    <row r="5" spans="1:12" ht="15" x14ac:dyDescent="0.25">
      <c r="A5" s="46" t="s">
        <v>300</v>
      </c>
      <c r="K5" s="4"/>
    </row>
    <row r="6" spans="1:12" x14ac:dyDescent="0.2">
      <c r="A6" s="3" t="s">
        <v>6</v>
      </c>
      <c r="B6" s="4" t="s">
        <v>14</v>
      </c>
    </row>
    <row r="7" spans="1:12" x14ac:dyDescent="0.2">
      <c r="A7" s="4" t="s">
        <v>131</v>
      </c>
      <c r="B7" s="3" t="s">
        <v>301</v>
      </c>
    </row>
    <row r="8" spans="1:12" x14ac:dyDescent="0.2">
      <c r="A8" s="4" t="s">
        <v>12</v>
      </c>
      <c r="B8" s="4" t="s">
        <v>302</v>
      </c>
    </row>
    <row r="9" spans="1:12" x14ac:dyDescent="0.2">
      <c r="A9" s="261" t="s">
        <v>13</v>
      </c>
      <c r="B9" s="262" t="s">
        <v>133</v>
      </c>
    </row>
    <row r="10" spans="1:12" x14ac:dyDescent="0.2">
      <c r="A10" s="261"/>
      <c r="B10" s="263" t="s">
        <v>16</v>
      </c>
    </row>
    <row r="11" spans="1:12" x14ac:dyDescent="0.2">
      <c r="A11" s="261" t="s">
        <v>127</v>
      </c>
      <c r="B11" s="262" t="s">
        <v>128</v>
      </c>
    </row>
    <row r="12" spans="1:12" x14ac:dyDescent="0.2">
      <c r="A12" s="261"/>
      <c r="B12" s="262" t="s">
        <v>129</v>
      </c>
    </row>
    <row r="13" spans="1:12" x14ac:dyDescent="0.2">
      <c r="A13" s="261" t="s">
        <v>130</v>
      </c>
      <c r="B13" s="262" t="s">
        <v>173</v>
      </c>
    </row>
    <row r="14" spans="1:12" x14ac:dyDescent="0.2">
      <c r="A14" s="261" t="s">
        <v>303</v>
      </c>
      <c r="B14" s="261" t="s">
        <v>304</v>
      </c>
    </row>
    <row r="15" spans="1:12" x14ac:dyDescent="0.2">
      <c r="A15" s="261"/>
      <c r="B15" s="261" t="s">
        <v>305</v>
      </c>
      <c r="I15">
        <v>0</v>
      </c>
      <c r="J15">
        <v>-1</v>
      </c>
      <c r="K15">
        <v>5</v>
      </c>
      <c r="L15">
        <v>4</v>
      </c>
    </row>
    <row r="16" spans="1:12" x14ac:dyDescent="0.2">
      <c r="A16" s="261"/>
      <c r="B16" s="261"/>
      <c r="I16">
        <v>2</v>
      </c>
      <c r="J16">
        <v>0</v>
      </c>
      <c r="K16">
        <v>4</v>
      </c>
      <c r="L16">
        <v>3</v>
      </c>
    </row>
    <row r="17" spans="1:31" ht="15" x14ac:dyDescent="0.25">
      <c r="A17" s="9" t="s">
        <v>71</v>
      </c>
      <c r="B17" s="3"/>
      <c r="I17">
        <v>3</v>
      </c>
      <c r="J17">
        <v>0.1</v>
      </c>
      <c r="K17">
        <v>3</v>
      </c>
      <c r="L17">
        <v>0.1</v>
      </c>
    </row>
    <row r="18" spans="1:31" x14ac:dyDescent="0.2">
      <c r="A18" s="10" t="s">
        <v>306</v>
      </c>
      <c r="I18">
        <v>4</v>
      </c>
      <c r="J18">
        <v>3</v>
      </c>
      <c r="K18">
        <v>2</v>
      </c>
      <c r="L18">
        <v>0</v>
      </c>
    </row>
    <row r="19" spans="1:31" x14ac:dyDescent="0.2">
      <c r="A19" s="10" t="s">
        <v>57</v>
      </c>
      <c r="C19" s="3" t="s">
        <v>58</v>
      </c>
      <c r="I19">
        <v>5</v>
      </c>
      <c r="J19">
        <v>4</v>
      </c>
      <c r="K19">
        <v>0</v>
      </c>
      <c r="L19">
        <v>-1</v>
      </c>
    </row>
    <row r="20" spans="1:31" x14ac:dyDescent="0.2">
      <c r="A20" s="10"/>
      <c r="C20" s="3" t="s">
        <v>59</v>
      </c>
    </row>
    <row r="21" spans="1:31" x14ac:dyDescent="0.2">
      <c r="A21" s="10"/>
      <c r="C21" s="3" t="s">
        <v>60</v>
      </c>
      <c r="E21" s="3"/>
    </row>
    <row r="22" spans="1:31" x14ac:dyDescent="0.2">
      <c r="A22" s="10"/>
      <c r="C22" s="3" t="s">
        <v>61</v>
      </c>
    </row>
    <row r="23" spans="1:31" x14ac:dyDescent="0.2">
      <c r="A23" s="56"/>
      <c r="B23" s="61" t="s">
        <v>20</v>
      </c>
      <c r="C23" s="62"/>
      <c r="D23" s="63" t="s">
        <v>317</v>
      </c>
      <c r="E23" s="64"/>
      <c r="F23" s="64"/>
      <c r="G23" s="64"/>
      <c r="H23" s="65"/>
      <c r="O23" s="260"/>
      <c r="P23" s="260"/>
      <c r="Q23" s="260"/>
      <c r="R23" s="260"/>
      <c r="S23" s="260"/>
      <c r="T23" s="260"/>
      <c r="U23" s="260"/>
      <c r="V23" s="260"/>
      <c r="W23" s="260"/>
      <c r="X23" s="260"/>
      <c r="Y23" s="260"/>
      <c r="Z23" s="260"/>
      <c r="AA23" s="260"/>
      <c r="AB23" s="260"/>
      <c r="AC23" s="260"/>
      <c r="AD23" s="260"/>
      <c r="AE23" s="260"/>
    </row>
    <row r="24" spans="1:31" x14ac:dyDescent="0.2">
      <c r="A24" s="57" t="s">
        <v>7</v>
      </c>
      <c r="B24" s="47" t="s">
        <v>17</v>
      </c>
      <c r="C24" s="15"/>
      <c r="D24" s="114" t="s">
        <v>114</v>
      </c>
      <c r="E24" s="26"/>
      <c r="F24" s="26"/>
      <c r="G24" s="26"/>
      <c r="H24" s="15"/>
      <c r="I24" s="5" t="s">
        <v>307</v>
      </c>
      <c r="O24" s="260"/>
      <c r="P24" s="260"/>
      <c r="Q24" s="260"/>
      <c r="R24" s="260"/>
      <c r="S24" s="260"/>
      <c r="T24" s="260"/>
      <c r="U24" s="260"/>
      <c r="V24" s="260"/>
      <c r="W24" s="260"/>
      <c r="X24" s="260"/>
      <c r="Y24" s="260"/>
      <c r="Z24" s="260"/>
      <c r="AA24" s="260"/>
      <c r="AB24" s="260"/>
      <c r="AC24" s="260"/>
      <c r="AD24" s="260"/>
      <c r="AE24" s="260"/>
    </row>
    <row r="25" spans="1:31" x14ac:dyDescent="0.2">
      <c r="A25" s="57" t="s">
        <v>8</v>
      </c>
      <c r="B25" s="48" t="s">
        <v>18</v>
      </c>
      <c r="C25" s="15"/>
      <c r="D25" s="47" t="s">
        <v>137</v>
      </c>
      <c r="E25" s="26"/>
      <c r="F25" s="26"/>
      <c r="G25" s="26"/>
      <c r="H25" s="26"/>
      <c r="I25" s="269" t="s">
        <v>24</v>
      </c>
      <c r="J25" s="270">
        <v>0</v>
      </c>
      <c r="K25" s="271">
        <f t="shared" ref="K25:AE25" si="0">J25+0.2</f>
        <v>0.2</v>
      </c>
      <c r="L25" s="271">
        <f t="shared" si="0"/>
        <v>0.4</v>
      </c>
      <c r="M25" s="271">
        <f t="shared" si="0"/>
        <v>0.60000000000000009</v>
      </c>
      <c r="N25" s="271">
        <f t="shared" si="0"/>
        <v>0.8</v>
      </c>
      <c r="O25" s="271">
        <f t="shared" si="0"/>
        <v>1</v>
      </c>
      <c r="P25" s="271">
        <f t="shared" si="0"/>
        <v>1.2</v>
      </c>
      <c r="Q25" s="271">
        <f t="shared" si="0"/>
        <v>1.4</v>
      </c>
      <c r="R25" s="271">
        <f t="shared" si="0"/>
        <v>1.5999999999999999</v>
      </c>
      <c r="S25" s="271">
        <f t="shared" si="0"/>
        <v>1.7999999999999998</v>
      </c>
      <c r="T25" s="271">
        <f t="shared" si="0"/>
        <v>1.9999999999999998</v>
      </c>
      <c r="U25" s="271">
        <f t="shared" si="0"/>
        <v>2.1999999999999997</v>
      </c>
      <c r="V25" s="271">
        <f t="shared" si="0"/>
        <v>2.4</v>
      </c>
      <c r="W25" s="271">
        <f t="shared" si="0"/>
        <v>2.6</v>
      </c>
      <c r="X25" s="271">
        <f t="shared" si="0"/>
        <v>2.8000000000000003</v>
      </c>
      <c r="Y25" s="271">
        <f t="shared" si="0"/>
        <v>3.0000000000000004</v>
      </c>
      <c r="Z25" s="271">
        <f t="shared" si="0"/>
        <v>3.2000000000000006</v>
      </c>
      <c r="AA25" s="271">
        <f t="shared" si="0"/>
        <v>3.4000000000000008</v>
      </c>
      <c r="AB25" s="271">
        <f t="shared" si="0"/>
        <v>3.600000000000001</v>
      </c>
      <c r="AC25" s="271">
        <f t="shared" si="0"/>
        <v>3.8000000000000012</v>
      </c>
      <c r="AD25" s="271">
        <f t="shared" si="0"/>
        <v>4.0000000000000009</v>
      </c>
      <c r="AE25" s="272">
        <f t="shared" si="0"/>
        <v>4.2000000000000011</v>
      </c>
    </row>
    <row r="26" spans="1:31" x14ac:dyDescent="0.2">
      <c r="A26" s="57" t="s">
        <v>9</v>
      </c>
      <c r="B26" s="48" t="s">
        <v>19</v>
      </c>
      <c r="C26" s="15"/>
      <c r="D26" s="47" t="s">
        <v>134</v>
      </c>
      <c r="E26" s="26"/>
      <c r="F26" s="26"/>
      <c r="G26" s="26"/>
      <c r="H26" s="26"/>
      <c r="I26" s="265" t="s">
        <v>25</v>
      </c>
      <c r="J26" s="276" t="e">
        <f t="array" aca="1" ref="J26:AE31" ca="1">csplinea(A36:A40,B36:B40,J25:AE25,1,1,B44,B45)</f>
        <v>#NAME?</v>
      </c>
      <c r="K26" s="277" t="e">
        <f ca="1"/>
        <v>#NAME?</v>
      </c>
      <c r="L26" s="277" t="e">
        <f ca="1"/>
        <v>#NAME?</v>
      </c>
      <c r="M26" s="277" t="e">
        <f ca="1"/>
        <v>#NAME?</v>
      </c>
      <c r="N26" s="277" t="e">
        <f ca="1"/>
        <v>#NAME?</v>
      </c>
      <c r="O26" s="277" t="e">
        <f ca="1"/>
        <v>#NAME?</v>
      </c>
      <c r="P26" s="277" t="e">
        <f ca="1"/>
        <v>#NAME?</v>
      </c>
      <c r="Q26" s="277" t="e">
        <f ca="1"/>
        <v>#NAME?</v>
      </c>
      <c r="R26" s="277" t="e">
        <f ca="1"/>
        <v>#NAME?</v>
      </c>
      <c r="S26" s="277" t="e">
        <f ca="1"/>
        <v>#NAME?</v>
      </c>
      <c r="T26" s="277" t="e">
        <f ca="1"/>
        <v>#NAME?</v>
      </c>
      <c r="U26" s="277" t="e">
        <f ca="1"/>
        <v>#NAME?</v>
      </c>
      <c r="V26" s="277" t="e">
        <f ca="1"/>
        <v>#NAME?</v>
      </c>
      <c r="W26" s="277" t="e">
        <f ca="1"/>
        <v>#NAME?</v>
      </c>
      <c r="X26" s="277" t="e">
        <f ca="1"/>
        <v>#NAME?</v>
      </c>
      <c r="Y26" s="277" t="e">
        <f ca="1"/>
        <v>#NAME?</v>
      </c>
      <c r="Z26" s="277" t="e">
        <f ca="1"/>
        <v>#NAME?</v>
      </c>
      <c r="AA26" s="277" t="e">
        <f ca="1"/>
        <v>#NAME?</v>
      </c>
      <c r="AB26" s="277" t="e">
        <f ca="1"/>
        <v>#NAME?</v>
      </c>
      <c r="AC26" s="277" t="e">
        <f ca="1"/>
        <v>#NAME?</v>
      </c>
      <c r="AD26" s="277" t="e">
        <f ca="1"/>
        <v>#NAME?</v>
      </c>
      <c r="AE26" s="278" t="e">
        <f ca="1"/>
        <v>#NAME?</v>
      </c>
    </row>
    <row r="27" spans="1:31" x14ac:dyDescent="0.2">
      <c r="A27" s="58" t="s">
        <v>10</v>
      </c>
      <c r="B27" s="48" t="s">
        <v>1</v>
      </c>
      <c r="C27" s="15"/>
      <c r="D27" s="47" t="s">
        <v>135</v>
      </c>
      <c r="E27" s="26"/>
      <c r="F27" s="26"/>
      <c r="G27" s="26"/>
      <c r="H27" s="26"/>
      <c r="I27" s="266" t="s">
        <v>18</v>
      </c>
      <c r="J27" s="279" t="e">
        <f ca="1"/>
        <v>#NAME?</v>
      </c>
      <c r="K27" s="280" t="e">
        <f ca="1"/>
        <v>#NAME?</v>
      </c>
      <c r="L27" s="280" t="e">
        <f ca="1"/>
        <v>#NAME?</v>
      </c>
      <c r="M27" s="280" t="e">
        <f ca="1"/>
        <v>#NAME?</v>
      </c>
      <c r="N27" s="280" t="e">
        <f ca="1"/>
        <v>#NAME?</v>
      </c>
      <c r="O27" s="280" t="e">
        <f ca="1"/>
        <v>#NAME?</v>
      </c>
      <c r="P27" s="280" t="e">
        <f ca="1"/>
        <v>#NAME?</v>
      </c>
      <c r="Q27" s="280" t="e">
        <f ca="1"/>
        <v>#NAME?</v>
      </c>
      <c r="R27" s="280" t="e">
        <f ca="1"/>
        <v>#NAME?</v>
      </c>
      <c r="S27" s="280" t="e">
        <f ca="1"/>
        <v>#NAME?</v>
      </c>
      <c r="T27" s="280" t="e">
        <f ca="1"/>
        <v>#NAME?</v>
      </c>
      <c r="U27" s="280" t="e">
        <f ca="1"/>
        <v>#NAME?</v>
      </c>
      <c r="V27" s="280" t="e">
        <f ca="1"/>
        <v>#NAME?</v>
      </c>
      <c r="W27" s="280" t="e">
        <f ca="1"/>
        <v>#NAME?</v>
      </c>
      <c r="X27" s="280" t="e">
        <f ca="1"/>
        <v>#NAME?</v>
      </c>
      <c r="Y27" s="280" t="e">
        <f ca="1"/>
        <v>#NAME?</v>
      </c>
      <c r="Z27" s="280" t="e">
        <f ca="1"/>
        <v>#NAME?</v>
      </c>
      <c r="AA27" s="280" t="e">
        <f ca="1"/>
        <v>#NAME?</v>
      </c>
      <c r="AB27" s="280" t="e">
        <f ca="1"/>
        <v>#NAME?</v>
      </c>
      <c r="AC27" s="280" t="e">
        <f ca="1"/>
        <v>#NAME?</v>
      </c>
      <c r="AD27" s="280" t="e">
        <f ca="1"/>
        <v>#NAME?</v>
      </c>
      <c r="AE27" s="281" t="e">
        <f ca="1"/>
        <v>#NAME?</v>
      </c>
    </row>
    <row r="28" spans="1:31" x14ac:dyDescent="0.2">
      <c r="A28" s="58" t="s">
        <v>11</v>
      </c>
      <c r="B28" s="48" t="s">
        <v>30</v>
      </c>
      <c r="C28" s="15"/>
      <c r="D28" s="47" t="s">
        <v>136</v>
      </c>
      <c r="E28" s="26"/>
      <c r="F28" s="26"/>
      <c r="G28" s="26"/>
      <c r="H28" s="26"/>
      <c r="I28" s="266" t="s">
        <v>19</v>
      </c>
      <c r="J28" s="279" t="e">
        <f ca="1"/>
        <v>#NAME?</v>
      </c>
      <c r="K28" s="280" t="e">
        <f ca="1"/>
        <v>#NAME?</v>
      </c>
      <c r="L28" s="280" t="e">
        <f ca="1"/>
        <v>#NAME?</v>
      </c>
      <c r="M28" s="280" t="e">
        <f ca="1"/>
        <v>#NAME?</v>
      </c>
      <c r="N28" s="280" t="e">
        <f ca="1"/>
        <v>#NAME?</v>
      </c>
      <c r="O28" s="280" t="e">
        <f ca="1"/>
        <v>#NAME?</v>
      </c>
      <c r="P28" s="280" t="e">
        <f ca="1"/>
        <v>#NAME?</v>
      </c>
      <c r="Q28" s="280" t="e">
        <f ca="1"/>
        <v>#NAME?</v>
      </c>
      <c r="R28" s="280" t="e">
        <f ca="1"/>
        <v>#NAME?</v>
      </c>
      <c r="S28" s="280" t="e">
        <f ca="1"/>
        <v>#NAME?</v>
      </c>
      <c r="T28" s="280" t="e">
        <f ca="1"/>
        <v>#NAME?</v>
      </c>
      <c r="U28" s="280" t="e">
        <f ca="1"/>
        <v>#NAME?</v>
      </c>
      <c r="V28" s="280" t="e">
        <f ca="1"/>
        <v>#NAME?</v>
      </c>
      <c r="W28" s="280" t="e">
        <f ca="1"/>
        <v>#NAME?</v>
      </c>
      <c r="X28" s="280" t="e">
        <f ca="1"/>
        <v>#NAME?</v>
      </c>
      <c r="Y28" s="280" t="e">
        <f ca="1"/>
        <v>#NAME?</v>
      </c>
      <c r="Z28" s="280" t="e">
        <f ca="1"/>
        <v>#NAME?</v>
      </c>
      <c r="AA28" s="280" t="e">
        <f ca="1"/>
        <v>#NAME?</v>
      </c>
      <c r="AB28" s="280" t="e">
        <f ca="1"/>
        <v>#NAME?</v>
      </c>
      <c r="AC28" s="280" t="e">
        <f ca="1"/>
        <v>#NAME?</v>
      </c>
      <c r="AD28" s="280" t="e">
        <f ca="1"/>
        <v>#NAME?</v>
      </c>
      <c r="AE28" s="281" t="e">
        <f ca="1"/>
        <v>#NAME?</v>
      </c>
    </row>
    <row r="29" spans="1:31" x14ac:dyDescent="0.2">
      <c r="A29" s="58" t="s">
        <v>21</v>
      </c>
      <c r="B29" s="48" t="s">
        <v>31</v>
      </c>
      <c r="C29" s="15"/>
      <c r="D29" s="167"/>
      <c r="E29" s="26"/>
      <c r="F29" s="26"/>
      <c r="G29" s="26"/>
      <c r="H29" s="26"/>
      <c r="I29" s="267" t="s">
        <v>1</v>
      </c>
      <c r="J29" s="279" t="e">
        <f ca="1"/>
        <v>#NAME?</v>
      </c>
      <c r="K29" s="280" t="e">
        <f ca="1"/>
        <v>#NAME?</v>
      </c>
      <c r="L29" s="280" t="e">
        <f ca="1"/>
        <v>#NAME?</v>
      </c>
      <c r="M29" s="280" t="e">
        <f ca="1"/>
        <v>#NAME?</v>
      </c>
      <c r="N29" s="280" t="e">
        <f ca="1"/>
        <v>#NAME?</v>
      </c>
      <c r="O29" s="280" t="e">
        <f ca="1"/>
        <v>#NAME?</v>
      </c>
      <c r="P29" s="280" t="e">
        <f ca="1"/>
        <v>#NAME?</v>
      </c>
      <c r="Q29" s="280" t="e">
        <f ca="1"/>
        <v>#NAME?</v>
      </c>
      <c r="R29" s="280" t="e">
        <f ca="1"/>
        <v>#NAME?</v>
      </c>
      <c r="S29" s="280" t="e">
        <f ca="1"/>
        <v>#NAME?</v>
      </c>
      <c r="T29" s="280" t="e">
        <f ca="1"/>
        <v>#NAME?</v>
      </c>
      <c r="U29" s="280" t="e">
        <f ca="1"/>
        <v>#NAME?</v>
      </c>
      <c r="V29" s="280" t="e">
        <f ca="1"/>
        <v>#NAME?</v>
      </c>
      <c r="W29" s="280" t="e">
        <f ca="1"/>
        <v>#NAME?</v>
      </c>
      <c r="X29" s="280" t="e">
        <f ca="1"/>
        <v>#NAME?</v>
      </c>
      <c r="Y29" s="280" t="e">
        <f ca="1"/>
        <v>#NAME?</v>
      </c>
      <c r="Z29" s="280" t="e">
        <f ca="1"/>
        <v>#NAME?</v>
      </c>
      <c r="AA29" s="280" t="e">
        <f ca="1"/>
        <v>#NAME?</v>
      </c>
      <c r="AB29" s="280" t="e">
        <f ca="1"/>
        <v>#NAME?</v>
      </c>
      <c r="AC29" s="280" t="e">
        <f ca="1"/>
        <v>#NAME?</v>
      </c>
      <c r="AD29" s="280" t="e">
        <f ca="1"/>
        <v>#NAME?</v>
      </c>
      <c r="AE29" s="281" t="e">
        <f ca="1"/>
        <v>#NAME?</v>
      </c>
    </row>
    <row r="30" spans="1:31" x14ac:dyDescent="0.2">
      <c r="A30" s="57"/>
      <c r="B30" s="49"/>
      <c r="C30" s="15"/>
      <c r="D30" s="47"/>
      <c r="E30" s="26"/>
      <c r="F30" s="26"/>
      <c r="G30" s="26"/>
      <c r="H30" s="26"/>
      <c r="I30" s="266" t="s">
        <v>28</v>
      </c>
      <c r="J30" s="279" t="e">
        <f ca="1"/>
        <v>#NAME?</v>
      </c>
      <c r="K30" s="280" t="e">
        <f ca="1"/>
        <v>#NAME?</v>
      </c>
      <c r="L30" s="280" t="e">
        <f ca="1"/>
        <v>#NAME?</v>
      </c>
      <c r="M30" s="280" t="e">
        <f ca="1"/>
        <v>#NAME?</v>
      </c>
      <c r="N30" s="280" t="e">
        <f ca="1"/>
        <v>#NAME?</v>
      </c>
      <c r="O30" s="280" t="e">
        <f ca="1"/>
        <v>#NAME?</v>
      </c>
      <c r="P30" s="280" t="e">
        <f ca="1"/>
        <v>#NAME?</v>
      </c>
      <c r="Q30" s="280" t="e">
        <f ca="1"/>
        <v>#NAME?</v>
      </c>
      <c r="R30" s="280" t="e">
        <f ca="1"/>
        <v>#NAME?</v>
      </c>
      <c r="S30" s="280" t="e">
        <f ca="1"/>
        <v>#NAME?</v>
      </c>
      <c r="T30" s="280" t="e">
        <f ca="1"/>
        <v>#NAME?</v>
      </c>
      <c r="U30" s="280" t="e">
        <f ca="1"/>
        <v>#NAME?</v>
      </c>
      <c r="V30" s="280" t="e">
        <f ca="1"/>
        <v>#NAME?</v>
      </c>
      <c r="W30" s="280" t="e">
        <f ca="1"/>
        <v>#NAME?</v>
      </c>
      <c r="X30" s="280" t="e">
        <f ca="1"/>
        <v>#NAME?</v>
      </c>
      <c r="Y30" s="280" t="e">
        <f ca="1"/>
        <v>#NAME?</v>
      </c>
      <c r="Z30" s="280" t="e">
        <f ca="1"/>
        <v>#NAME?</v>
      </c>
      <c r="AA30" s="280" t="e">
        <f ca="1"/>
        <v>#NAME?</v>
      </c>
      <c r="AB30" s="280" t="e">
        <f ca="1"/>
        <v>#NAME?</v>
      </c>
      <c r="AC30" s="280" t="e">
        <f ca="1"/>
        <v>#NAME?</v>
      </c>
      <c r="AD30" s="280" t="e">
        <f ca="1"/>
        <v>#NAME?</v>
      </c>
      <c r="AE30" s="281" t="e">
        <f ca="1"/>
        <v>#NAME?</v>
      </c>
    </row>
    <row r="31" spans="1:31" x14ac:dyDescent="0.2">
      <c r="A31" s="60"/>
      <c r="B31" s="50"/>
      <c r="C31" s="53"/>
      <c r="D31" s="52"/>
      <c r="E31" s="51"/>
      <c r="F31" s="51"/>
      <c r="G31" s="51"/>
      <c r="H31" s="51"/>
      <c r="I31" s="268" t="s">
        <v>31</v>
      </c>
      <c r="J31" s="282" t="e">
        <f ca="1"/>
        <v>#NAME?</v>
      </c>
      <c r="K31" s="283" t="e">
        <f ca="1"/>
        <v>#NAME?</v>
      </c>
      <c r="L31" s="283" t="e">
        <f ca="1"/>
        <v>#NAME?</v>
      </c>
      <c r="M31" s="283" t="e">
        <f ca="1"/>
        <v>#NAME?</v>
      </c>
      <c r="N31" s="283" t="e">
        <f ca="1"/>
        <v>#NAME?</v>
      </c>
      <c r="O31" s="283" t="e">
        <f ca="1"/>
        <v>#NAME?</v>
      </c>
      <c r="P31" s="283" t="e">
        <f ca="1"/>
        <v>#NAME?</v>
      </c>
      <c r="Q31" s="283" t="e">
        <f ca="1"/>
        <v>#NAME?</v>
      </c>
      <c r="R31" s="283" t="e">
        <f ca="1"/>
        <v>#NAME?</v>
      </c>
      <c r="S31" s="283" t="e">
        <f ca="1"/>
        <v>#NAME?</v>
      </c>
      <c r="T31" s="283" t="e">
        <f ca="1"/>
        <v>#NAME?</v>
      </c>
      <c r="U31" s="283" t="e">
        <f ca="1"/>
        <v>#NAME?</v>
      </c>
      <c r="V31" s="283" t="e">
        <f ca="1"/>
        <v>#NAME?</v>
      </c>
      <c r="W31" s="283" t="e">
        <f ca="1"/>
        <v>#NAME?</v>
      </c>
      <c r="X31" s="283" t="e">
        <f ca="1"/>
        <v>#NAME?</v>
      </c>
      <c r="Y31" s="283" t="e">
        <f ca="1"/>
        <v>#NAME?</v>
      </c>
      <c r="Z31" s="283" t="e">
        <f ca="1"/>
        <v>#NAME?</v>
      </c>
      <c r="AA31" s="283" t="e">
        <f ca="1"/>
        <v>#NAME?</v>
      </c>
      <c r="AB31" s="283" t="e">
        <f ca="1"/>
        <v>#NAME?</v>
      </c>
      <c r="AC31" s="283" t="e">
        <f ca="1"/>
        <v>#NAME?</v>
      </c>
      <c r="AD31" s="283" t="e">
        <f ca="1"/>
        <v>#NAME?</v>
      </c>
      <c r="AE31" s="284" t="e">
        <f ca="1"/>
        <v>#NAME?</v>
      </c>
    </row>
    <row r="32" spans="1:31" x14ac:dyDescent="0.2">
      <c r="A32" s="3"/>
      <c r="B32" s="5"/>
      <c r="D32" s="4"/>
    </row>
    <row r="33" spans="1:23" ht="13.5" thickBot="1" x14ac:dyDescent="0.25">
      <c r="A33" s="3" t="s">
        <v>27</v>
      </c>
      <c r="Q33" s="3" t="s">
        <v>318</v>
      </c>
    </row>
    <row r="34" spans="1:23" ht="13.5" thickBot="1" x14ac:dyDescent="0.25">
      <c r="A34" s="292" t="s">
        <v>22</v>
      </c>
      <c r="B34" s="293"/>
      <c r="C34" s="116"/>
      <c r="D34" s="109" t="s">
        <v>23</v>
      </c>
      <c r="E34" s="109" t="s">
        <v>26</v>
      </c>
      <c r="F34" s="109" t="s">
        <v>123</v>
      </c>
      <c r="G34" s="117" t="s">
        <v>124</v>
      </c>
      <c r="Q34" s="292" t="s">
        <v>22</v>
      </c>
      <c r="R34" s="293"/>
      <c r="S34" s="116"/>
      <c r="T34" s="109" t="s">
        <v>23</v>
      </c>
      <c r="U34" s="109" t="s">
        <v>26</v>
      </c>
      <c r="V34" s="109" t="s">
        <v>123</v>
      </c>
      <c r="W34" s="117" t="s">
        <v>124</v>
      </c>
    </row>
    <row r="35" spans="1:23" ht="13.5" thickBot="1" x14ac:dyDescent="0.25">
      <c r="A35" s="1" t="s">
        <v>24</v>
      </c>
      <c r="B35" s="14" t="s">
        <v>25</v>
      </c>
      <c r="C35" s="13" t="s">
        <v>24</v>
      </c>
      <c r="D35" s="2" t="s">
        <v>25</v>
      </c>
      <c r="E35" s="2" t="s">
        <v>25</v>
      </c>
      <c r="F35" s="2" t="s">
        <v>25</v>
      </c>
      <c r="G35" s="2" t="s">
        <v>25</v>
      </c>
      <c r="J35" s="102"/>
      <c r="Q35" s="1" t="s">
        <v>24</v>
      </c>
      <c r="R35" s="14" t="s">
        <v>25</v>
      </c>
      <c r="S35" s="13" t="s">
        <v>24</v>
      </c>
      <c r="T35" s="2" t="s">
        <v>25</v>
      </c>
      <c r="U35" s="2" t="s">
        <v>25</v>
      </c>
      <c r="V35" s="2" t="s">
        <v>25</v>
      </c>
      <c r="W35" s="2" t="s">
        <v>25</v>
      </c>
    </row>
    <row r="36" spans="1:23" x14ac:dyDescent="0.2">
      <c r="A36" s="255">
        <v>0</v>
      </c>
      <c r="B36" s="257">
        <v>-1</v>
      </c>
      <c r="C36" s="28">
        <v>0.2</v>
      </c>
      <c r="D36" s="290" t="e">
        <f t="array" aca="1" ref="D36:D57" ca="1">csplinea($A$36:$A$40,$B$36:$B$40,$C$36:$C$57,1,1,B44,B45)</f>
        <v>#NAME?</v>
      </c>
      <c r="E36" s="82" t="e">
        <f t="array" aca="1" ref="E36:E57" ca="1">csplinea($A$36:$A$40,$B$36:$B$40,$C$36:$C$57,1,1,B47,B48)</f>
        <v>#NAME?</v>
      </c>
      <c r="F36" s="82" t="e">
        <f t="array" aca="1" ref="F36:F57" ca="1">csplinea($A$36:$A$40,$B$36:$B$40,$C$36:$C$57,1,2,B52,B53)</f>
        <v>#NAME?</v>
      </c>
      <c r="G36" s="82" t="e">
        <f t="array" aca="1" ref="G36:G57" ca="1">csplinea($A$36:$A$40,$B$36:$B$40,$C$36:$C$57,1,2,B55,B56)</f>
        <v>#NAME?</v>
      </c>
      <c r="J36" s="259"/>
      <c r="K36" s="106"/>
      <c r="Q36" s="255">
        <v>5</v>
      </c>
      <c r="R36" s="257">
        <v>4</v>
      </c>
      <c r="S36" s="28">
        <v>0.2</v>
      </c>
      <c r="T36" s="290" t="e">
        <f t="array" aca="1" ref="T36:T57" ca="1">csplinea($Q$36:$Q$40,$R$36:$R$40,$S$36:$S$57,1,1,$R44,$R45)</f>
        <v>#NAME?</v>
      </c>
      <c r="U36" s="82" t="e">
        <f t="array" aca="1" ref="U36:U57" ca="1">csplinea($Q$36:$Q$40,$R$36:$R$40,$S$36:$S$57,1,1,$R47,$R48)</f>
        <v>#NAME?</v>
      </c>
      <c r="V36" s="82" t="e">
        <f t="array" aca="1" ref="V36:V57" ca="1">csplinea($Q$36:$Q$40,$R$36:$R$40,$S$36:$S$57,1,2,$R52,$R53)</f>
        <v>#NAME?</v>
      </c>
      <c r="W36" s="82" t="e">
        <f t="array" aca="1" ref="W36:W57" ca="1">csplinea($Q$36:$Q$40,$R$36:$R$40,$S$36:$S$57,1,2,$R55,$R56)</f>
        <v>#NAME?</v>
      </c>
    </row>
    <row r="37" spans="1:23" x14ac:dyDescent="0.2">
      <c r="A37" s="256">
        <v>2</v>
      </c>
      <c r="B37" s="258">
        <v>0</v>
      </c>
      <c r="C37" s="29">
        <f>+C36+0.2</f>
        <v>0.4</v>
      </c>
      <c r="D37" s="82" t="e">
        <f ca="1"/>
        <v>#NAME?</v>
      </c>
      <c r="E37" s="82" t="e">
        <f ca="1"/>
        <v>#NAME?</v>
      </c>
      <c r="F37" s="82" t="e">
        <f ca="1"/>
        <v>#NAME?</v>
      </c>
      <c r="G37" s="82" t="e">
        <f ca="1"/>
        <v>#NAME?</v>
      </c>
      <c r="I37" s="7"/>
      <c r="J37" s="7"/>
      <c r="K37" s="8"/>
      <c r="Q37" s="256">
        <v>4</v>
      </c>
      <c r="R37" s="258">
        <v>3</v>
      </c>
      <c r="S37" s="29">
        <f>+S36+0.2</f>
        <v>0.4</v>
      </c>
      <c r="T37" s="82" t="e">
        <f ca="1"/>
        <v>#NAME?</v>
      </c>
      <c r="U37" s="82" t="e">
        <f ca="1"/>
        <v>#NAME?</v>
      </c>
      <c r="V37" s="82" t="e">
        <f ca="1"/>
        <v>#NAME?</v>
      </c>
      <c r="W37" s="82" t="e">
        <f ca="1"/>
        <v>#NAME?</v>
      </c>
    </row>
    <row r="38" spans="1:23" x14ac:dyDescent="0.2">
      <c r="A38" s="256">
        <v>3</v>
      </c>
      <c r="B38" s="258">
        <v>0.1</v>
      </c>
      <c r="C38" s="29">
        <f t="shared" ref="C38:C57" si="1">+C37+0.2</f>
        <v>0.60000000000000009</v>
      </c>
      <c r="D38" s="82" t="e">
        <f ca="1"/>
        <v>#NAME?</v>
      </c>
      <c r="E38" s="82" t="e">
        <f ca="1"/>
        <v>#NAME?</v>
      </c>
      <c r="F38" s="82" t="e">
        <f ca="1"/>
        <v>#NAME?</v>
      </c>
      <c r="G38" s="82" t="e">
        <f ca="1"/>
        <v>#NAME?</v>
      </c>
      <c r="I38" s="7"/>
      <c r="J38" s="7"/>
      <c r="K38" s="8"/>
      <c r="Q38" s="256">
        <v>3</v>
      </c>
      <c r="R38" s="258">
        <v>0.1</v>
      </c>
      <c r="S38" s="29">
        <f t="shared" ref="S38:S57" si="2">+S37+0.2</f>
        <v>0.60000000000000009</v>
      </c>
      <c r="T38" s="82" t="e">
        <f ca="1"/>
        <v>#NAME?</v>
      </c>
      <c r="U38" s="82" t="e">
        <f ca="1"/>
        <v>#NAME?</v>
      </c>
      <c r="V38" s="82" t="e">
        <f ca="1"/>
        <v>#NAME?</v>
      </c>
      <c r="W38" s="82" t="e">
        <f ca="1"/>
        <v>#NAME?</v>
      </c>
    </row>
    <row r="39" spans="1:23" x14ac:dyDescent="0.2">
      <c r="A39" s="256">
        <v>4</v>
      </c>
      <c r="B39" s="258">
        <v>3</v>
      </c>
      <c r="C39" s="29">
        <f t="shared" si="1"/>
        <v>0.8</v>
      </c>
      <c r="D39" s="82" t="e">
        <f ca="1"/>
        <v>#NAME?</v>
      </c>
      <c r="E39" s="82" t="e">
        <f ca="1"/>
        <v>#NAME?</v>
      </c>
      <c r="F39" s="82" t="e">
        <f ca="1"/>
        <v>#NAME?</v>
      </c>
      <c r="G39" s="82" t="e">
        <f ca="1"/>
        <v>#NAME?</v>
      </c>
      <c r="I39" s="7"/>
      <c r="J39" s="7"/>
      <c r="K39" s="8"/>
      <c r="Q39" s="256">
        <v>2</v>
      </c>
      <c r="R39" s="258">
        <v>0</v>
      </c>
      <c r="S39" s="29">
        <f t="shared" si="2"/>
        <v>0.8</v>
      </c>
      <c r="T39" s="82" t="e">
        <f ca="1"/>
        <v>#NAME?</v>
      </c>
      <c r="U39" s="82" t="e">
        <f ca="1"/>
        <v>#NAME?</v>
      </c>
      <c r="V39" s="82" t="e">
        <f ca="1"/>
        <v>#NAME?</v>
      </c>
      <c r="W39" s="82" t="e">
        <f ca="1"/>
        <v>#NAME?</v>
      </c>
    </row>
    <row r="40" spans="1:23" x14ac:dyDescent="0.2">
      <c r="A40" s="256">
        <v>5</v>
      </c>
      <c r="B40" s="258">
        <v>4</v>
      </c>
      <c r="C40" s="29">
        <f t="shared" si="1"/>
        <v>1</v>
      </c>
      <c r="D40" s="82" t="e">
        <f ca="1"/>
        <v>#NAME?</v>
      </c>
      <c r="E40" s="82" t="e">
        <f ca="1"/>
        <v>#NAME?</v>
      </c>
      <c r="F40" s="82" t="e">
        <f ca="1"/>
        <v>#NAME?</v>
      </c>
      <c r="G40" s="82" t="e">
        <f ca="1"/>
        <v>#NAME?</v>
      </c>
      <c r="I40" s="7"/>
      <c r="J40" s="7"/>
      <c r="K40" s="8"/>
      <c r="Q40" s="256">
        <v>0</v>
      </c>
      <c r="R40" s="258">
        <v>-1</v>
      </c>
      <c r="S40" s="29">
        <f t="shared" si="2"/>
        <v>1</v>
      </c>
      <c r="T40" s="82" t="e">
        <f ca="1"/>
        <v>#NAME?</v>
      </c>
      <c r="U40" s="82" t="e">
        <f ca="1"/>
        <v>#NAME?</v>
      </c>
      <c r="V40" s="82" t="e">
        <f ca="1"/>
        <v>#NAME?</v>
      </c>
      <c r="W40" s="82" t="e">
        <f ca="1"/>
        <v>#NAME?</v>
      </c>
    </row>
    <row r="41" spans="1:23" x14ac:dyDescent="0.2">
      <c r="A41" s="11"/>
      <c r="B41" s="26"/>
      <c r="C41" s="29">
        <f t="shared" si="1"/>
        <v>1.2</v>
      </c>
      <c r="D41" s="82" t="e">
        <f ca="1"/>
        <v>#NAME?</v>
      </c>
      <c r="E41" s="82" t="e">
        <f ca="1"/>
        <v>#NAME?</v>
      </c>
      <c r="F41" s="82" t="e">
        <f ca="1"/>
        <v>#NAME?</v>
      </c>
      <c r="G41" s="82" t="e">
        <f ca="1"/>
        <v>#NAME?</v>
      </c>
      <c r="I41" s="7"/>
      <c r="J41" s="7"/>
      <c r="K41" s="8"/>
      <c r="Q41" s="11"/>
      <c r="R41" s="26"/>
      <c r="S41" s="29">
        <f t="shared" si="2"/>
        <v>1.2</v>
      </c>
      <c r="T41" s="82" t="e">
        <f ca="1"/>
        <v>#NAME?</v>
      </c>
      <c r="U41" s="82" t="e">
        <f ca="1"/>
        <v>#NAME?</v>
      </c>
      <c r="V41" s="82" t="e">
        <f ca="1"/>
        <v>#NAME?</v>
      </c>
      <c r="W41" s="82" t="e">
        <f ca="1"/>
        <v>#NAME?</v>
      </c>
    </row>
    <row r="42" spans="1:23" x14ac:dyDescent="0.2">
      <c r="A42" s="118" t="s">
        <v>115</v>
      </c>
      <c r="B42" s="26"/>
      <c r="C42" s="29">
        <f t="shared" si="1"/>
        <v>1.4</v>
      </c>
      <c r="D42" s="82" t="e">
        <f ca="1"/>
        <v>#NAME?</v>
      </c>
      <c r="E42" s="82" t="e">
        <f ca="1"/>
        <v>#NAME?</v>
      </c>
      <c r="F42" s="82" t="e">
        <f ca="1"/>
        <v>#NAME?</v>
      </c>
      <c r="G42" s="82" t="e">
        <f ca="1"/>
        <v>#NAME?</v>
      </c>
      <c r="I42" s="7"/>
      <c r="J42" s="7"/>
      <c r="K42" s="8"/>
      <c r="Q42" s="118" t="s">
        <v>115</v>
      </c>
      <c r="R42" s="26"/>
      <c r="S42" s="29">
        <f t="shared" si="2"/>
        <v>1.4</v>
      </c>
      <c r="T42" s="82" t="e">
        <f ca="1"/>
        <v>#NAME?</v>
      </c>
      <c r="U42" s="82" t="e">
        <f ca="1"/>
        <v>#NAME?</v>
      </c>
      <c r="V42" s="82" t="e">
        <f ca="1"/>
        <v>#NAME?</v>
      </c>
      <c r="W42" s="82" t="e">
        <f ca="1"/>
        <v>#NAME?</v>
      </c>
    </row>
    <row r="43" spans="1:23" x14ac:dyDescent="0.2">
      <c r="A43" s="118" t="s">
        <v>116</v>
      </c>
      <c r="B43" s="26"/>
      <c r="C43" s="29">
        <f t="shared" si="1"/>
        <v>1.5999999999999999</v>
      </c>
      <c r="D43" s="82" t="e">
        <f ca="1"/>
        <v>#NAME?</v>
      </c>
      <c r="E43" s="82" t="e">
        <f ca="1"/>
        <v>#NAME?</v>
      </c>
      <c r="F43" s="82" t="e">
        <f ca="1"/>
        <v>#NAME?</v>
      </c>
      <c r="G43" s="82" t="e">
        <f ca="1"/>
        <v>#NAME?</v>
      </c>
      <c r="I43" s="7"/>
      <c r="J43" s="7"/>
      <c r="K43" s="8"/>
      <c r="Q43" s="118" t="s">
        <v>116</v>
      </c>
      <c r="R43" s="26"/>
      <c r="S43" s="29">
        <f t="shared" si="2"/>
        <v>1.5999999999999999</v>
      </c>
      <c r="T43" s="82" t="e">
        <f ca="1"/>
        <v>#NAME?</v>
      </c>
      <c r="U43" s="82" t="e">
        <f ca="1"/>
        <v>#NAME?</v>
      </c>
      <c r="V43" s="82" t="e">
        <f ca="1"/>
        <v>#NAME?</v>
      </c>
      <c r="W43" s="82" t="e">
        <f ca="1"/>
        <v>#NAME?</v>
      </c>
    </row>
    <row r="44" spans="1:23" x14ac:dyDescent="0.2">
      <c r="A44" s="115" t="s">
        <v>117</v>
      </c>
      <c r="B44" s="130">
        <v>0</v>
      </c>
      <c r="C44" s="29">
        <f t="shared" si="1"/>
        <v>1.7999999999999998</v>
      </c>
      <c r="D44" s="82" t="e">
        <f ca="1"/>
        <v>#NAME?</v>
      </c>
      <c r="E44" s="82" t="e">
        <f ca="1"/>
        <v>#NAME?</v>
      </c>
      <c r="F44" s="82" t="e">
        <f ca="1"/>
        <v>#NAME?</v>
      </c>
      <c r="G44" s="82" t="e">
        <f ca="1"/>
        <v>#NAME?</v>
      </c>
      <c r="I44" s="7"/>
      <c r="J44" s="7"/>
      <c r="K44" s="8"/>
      <c r="Q44" s="115" t="s">
        <v>117</v>
      </c>
      <c r="R44" s="130">
        <v>0</v>
      </c>
      <c r="S44" s="29">
        <f t="shared" si="2"/>
        <v>1.7999999999999998</v>
      </c>
      <c r="T44" s="82" t="e">
        <f ca="1"/>
        <v>#NAME?</v>
      </c>
      <c r="U44" s="82" t="e">
        <f ca="1"/>
        <v>#NAME?</v>
      </c>
      <c r="V44" s="82" t="e">
        <f ca="1"/>
        <v>#NAME?</v>
      </c>
      <c r="W44" s="82" t="e">
        <f ca="1"/>
        <v>#NAME?</v>
      </c>
    </row>
    <row r="45" spans="1:23" x14ac:dyDescent="0.2">
      <c r="A45" s="115" t="s">
        <v>118</v>
      </c>
      <c r="B45" s="130">
        <v>0</v>
      </c>
      <c r="C45" s="29">
        <f t="shared" si="1"/>
        <v>1.9999999999999998</v>
      </c>
      <c r="D45" s="82" t="e">
        <f ca="1"/>
        <v>#NAME?</v>
      </c>
      <c r="E45" s="82" t="e">
        <f ca="1"/>
        <v>#NAME?</v>
      </c>
      <c r="F45" s="82" t="e">
        <f ca="1"/>
        <v>#NAME?</v>
      </c>
      <c r="G45" s="82" t="e">
        <f ca="1"/>
        <v>#NAME?</v>
      </c>
      <c r="I45" s="7"/>
      <c r="J45" s="7"/>
      <c r="K45" s="8"/>
      <c r="Q45" s="115" t="s">
        <v>118</v>
      </c>
      <c r="R45" s="130">
        <v>0</v>
      </c>
      <c r="S45" s="29">
        <f t="shared" si="2"/>
        <v>1.9999999999999998</v>
      </c>
      <c r="T45" s="82" t="e">
        <f ca="1"/>
        <v>#NAME?</v>
      </c>
      <c r="U45" s="82" t="e">
        <f ca="1"/>
        <v>#NAME?</v>
      </c>
      <c r="V45" s="82" t="e">
        <f ca="1"/>
        <v>#NAME?</v>
      </c>
      <c r="W45" s="82" t="e">
        <f ca="1"/>
        <v>#NAME?</v>
      </c>
    </row>
    <row r="46" spans="1:23" x14ac:dyDescent="0.2">
      <c r="A46" s="119" t="s">
        <v>119</v>
      </c>
      <c r="B46" s="26"/>
      <c r="C46" s="29">
        <f t="shared" si="1"/>
        <v>2.1999999999999997</v>
      </c>
      <c r="D46" s="82" t="e">
        <f ca="1"/>
        <v>#NAME?</v>
      </c>
      <c r="E46" s="82" t="e">
        <f ca="1"/>
        <v>#NAME?</v>
      </c>
      <c r="F46" s="82" t="e">
        <f ca="1"/>
        <v>#NAME?</v>
      </c>
      <c r="G46" s="82" t="e">
        <f ca="1"/>
        <v>#NAME?</v>
      </c>
      <c r="I46" s="7"/>
      <c r="J46" s="7"/>
      <c r="K46" s="8"/>
      <c r="Q46" s="119" t="s">
        <v>119</v>
      </c>
      <c r="R46" s="26"/>
      <c r="S46" s="29">
        <f t="shared" si="2"/>
        <v>2.1999999999999997</v>
      </c>
      <c r="T46" s="82" t="e">
        <f ca="1"/>
        <v>#NAME?</v>
      </c>
      <c r="U46" s="82" t="e">
        <f ca="1"/>
        <v>#NAME?</v>
      </c>
      <c r="V46" s="82" t="e">
        <f ca="1"/>
        <v>#NAME?</v>
      </c>
      <c r="W46" s="82" t="e">
        <f ca="1"/>
        <v>#NAME?</v>
      </c>
    </row>
    <row r="47" spans="1:23" ht="13.5" customHeight="1" x14ac:dyDescent="0.2">
      <c r="A47" s="115" t="s">
        <v>117</v>
      </c>
      <c r="B47" s="130">
        <v>-2</v>
      </c>
      <c r="C47" s="29">
        <f t="shared" si="1"/>
        <v>2.4</v>
      </c>
      <c r="D47" s="82" t="e">
        <f ca="1"/>
        <v>#NAME?</v>
      </c>
      <c r="E47" s="82" t="e">
        <f ca="1"/>
        <v>#NAME?</v>
      </c>
      <c r="F47" s="82" t="e">
        <f ca="1"/>
        <v>#NAME?</v>
      </c>
      <c r="G47" s="82" t="e">
        <f ca="1"/>
        <v>#NAME?</v>
      </c>
      <c r="I47" s="7"/>
      <c r="J47" s="7"/>
      <c r="K47" s="8"/>
      <c r="Q47" s="115" t="s">
        <v>117</v>
      </c>
      <c r="R47" s="130">
        <v>-2</v>
      </c>
      <c r="S47" s="29">
        <f t="shared" si="2"/>
        <v>2.4</v>
      </c>
      <c r="T47" s="82" t="e">
        <f ca="1"/>
        <v>#NAME?</v>
      </c>
      <c r="U47" s="82" t="e">
        <f ca="1"/>
        <v>#NAME?</v>
      </c>
      <c r="V47" s="82" t="e">
        <f ca="1"/>
        <v>#NAME?</v>
      </c>
      <c r="W47" s="82" t="e">
        <f ca="1"/>
        <v>#NAME?</v>
      </c>
    </row>
    <row r="48" spans="1:23" x14ac:dyDescent="0.2">
      <c r="A48" s="115" t="s">
        <v>118</v>
      </c>
      <c r="B48" s="130">
        <v>2</v>
      </c>
      <c r="C48" s="29">
        <f t="shared" si="1"/>
        <v>2.6</v>
      </c>
      <c r="D48" s="82" t="e">
        <f ca="1"/>
        <v>#NAME?</v>
      </c>
      <c r="E48" s="82" t="e">
        <f ca="1"/>
        <v>#NAME?</v>
      </c>
      <c r="F48" s="82" t="e">
        <f ca="1"/>
        <v>#NAME?</v>
      </c>
      <c r="G48" s="82" t="e">
        <f ca="1"/>
        <v>#NAME?</v>
      </c>
      <c r="I48" s="7"/>
      <c r="J48" s="7"/>
      <c r="K48" s="8"/>
      <c r="Q48" s="115" t="s">
        <v>118</v>
      </c>
      <c r="R48" s="130">
        <v>2</v>
      </c>
      <c r="S48" s="29">
        <f t="shared" si="2"/>
        <v>2.6</v>
      </c>
      <c r="T48" s="82" t="e">
        <f ca="1"/>
        <v>#NAME?</v>
      </c>
      <c r="U48" s="82" t="e">
        <f ca="1"/>
        <v>#NAME?</v>
      </c>
      <c r="V48" s="82" t="e">
        <f ca="1"/>
        <v>#NAME?</v>
      </c>
      <c r="W48" s="82" t="e">
        <f ca="1"/>
        <v>#NAME?</v>
      </c>
    </row>
    <row r="49" spans="1:23" x14ac:dyDescent="0.2">
      <c r="A49" s="11"/>
      <c r="B49" s="26"/>
      <c r="C49" s="29">
        <f t="shared" si="1"/>
        <v>2.8000000000000003</v>
      </c>
      <c r="D49" s="82" t="e">
        <f ca="1"/>
        <v>#NAME?</v>
      </c>
      <c r="E49" s="82" t="e">
        <f ca="1"/>
        <v>#NAME?</v>
      </c>
      <c r="F49" s="82" t="e">
        <f ca="1"/>
        <v>#NAME?</v>
      </c>
      <c r="G49" s="82" t="e">
        <f ca="1"/>
        <v>#NAME?</v>
      </c>
      <c r="I49" s="7"/>
      <c r="J49" s="7"/>
      <c r="K49" s="8"/>
      <c r="Q49" s="11"/>
      <c r="R49" s="26"/>
      <c r="S49" s="29">
        <f t="shared" si="2"/>
        <v>2.8000000000000003</v>
      </c>
      <c r="T49" s="82" t="e">
        <f ca="1"/>
        <v>#NAME?</v>
      </c>
      <c r="U49" s="82" t="e">
        <f ca="1"/>
        <v>#NAME?</v>
      </c>
      <c r="V49" s="82" t="e">
        <f ca="1"/>
        <v>#NAME?</v>
      </c>
      <c r="W49" s="82" t="e">
        <f ca="1"/>
        <v>#NAME?</v>
      </c>
    </row>
    <row r="50" spans="1:23" x14ac:dyDescent="0.2">
      <c r="A50" s="119" t="s">
        <v>120</v>
      </c>
      <c r="B50" s="26"/>
      <c r="C50" s="29">
        <f t="shared" si="1"/>
        <v>3.0000000000000004</v>
      </c>
      <c r="D50" s="82" t="e">
        <f ca="1"/>
        <v>#NAME?</v>
      </c>
      <c r="E50" s="82" t="e">
        <f ca="1"/>
        <v>#NAME?</v>
      </c>
      <c r="F50" s="82" t="e">
        <f ca="1"/>
        <v>#NAME?</v>
      </c>
      <c r="G50" s="82" t="e">
        <f ca="1"/>
        <v>#NAME?</v>
      </c>
      <c r="I50" s="7"/>
      <c r="J50" s="7"/>
      <c r="K50" s="8"/>
      <c r="M50" s="3"/>
      <c r="Q50" s="119" t="s">
        <v>120</v>
      </c>
      <c r="R50" s="26"/>
      <c r="S50" s="29">
        <f t="shared" si="2"/>
        <v>3.0000000000000004</v>
      </c>
      <c r="T50" s="82" t="e">
        <f ca="1"/>
        <v>#NAME?</v>
      </c>
      <c r="U50" s="82" t="e">
        <f ca="1"/>
        <v>#NAME?</v>
      </c>
      <c r="V50" s="82" t="e">
        <f ca="1"/>
        <v>#NAME?</v>
      </c>
      <c r="W50" s="82" t="e">
        <f ca="1"/>
        <v>#NAME?</v>
      </c>
    </row>
    <row r="51" spans="1:23" x14ac:dyDescent="0.2">
      <c r="A51" s="119" t="s">
        <v>121</v>
      </c>
      <c r="B51" s="26"/>
      <c r="C51" s="29">
        <f t="shared" si="1"/>
        <v>3.2000000000000006</v>
      </c>
      <c r="D51" s="82" t="e">
        <f ca="1"/>
        <v>#NAME?</v>
      </c>
      <c r="E51" s="82" t="e">
        <f ca="1"/>
        <v>#NAME?</v>
      </c>
      <c r="F51" s="82" t="e">
        <f ca="1"/>
        <v>#NAME?</v>
      </c>
      <c r="G51" s="82" t="e">
        <f ca="1"/>
        <v>#NAME?</v>
      </c>
      <c r="I51" s="7"/>
      <c r="J51" s="7"/>
      <c r="K51" s="8"/>
      <c r="M51" s="3"/>
      <c r="Q51" s="119" t="s">
        <v>121</v>
      </c>
      <c r="R51" s="26"/>
      <c r="S51" s="29">
        <f t="shared" si="2"/>
        <v>3.2000000000000006</v>
      </c>
      <c r="T51" s="82" t="e">
        <f ca="1"/>
        <v>#NAME?</v>
      </c>
      <c r="U51" s="82" t="e">
        <f ca="1"/>
        <v>#NAME?</v>
      </c>
      <c r="V51" s="82" t="e">
        <f ca="1"/>
        <v>#NAME?</v>
      </c>
      <c r="W51" s="82" t="e">
        <f ca="1"/>
        <v>#NAME?</v>
      </c>
    </row>
    <row r="52" spans="1:23" x14ac:dyDescent="0.2">
      <c r="A52" s="115" t="s">
        <v>117</v>
      </c>
      <c r="B52" s="130">
        <v>0</v>
      </c>
      <c r="C52" s="29">
        <f t="shared" si="1"/>
        <v>3.4000000000000008</v>
      </c>
      <c r="D52" s="82" t="e">
        <f ca="1"/>
        <v>#NAME?</v>
      </c>
      <c r="E52" s="82" t="e">
        <f ca="1"/>
        <v>#NAME?</v>
      </c>
      <c r="F52" s="82" t="e">
        <f ca="1"/>
        <v>#NAME?</v>
      </c>
      <c r="G52" s="82" t="e">
        <f ca="1"/>
        <v>#NAME?</v>
      </c>
      <c r="I52" s="7"/>
      <c r="J52" s="7"/>
      <c r="K52" s="8"/>
      <c r="M52" s="3"/>
      <c r="O52" s="6"/>
      <c r="Q52" s="115" t="s">
        <v>117</v>
      </c>
      <c r="R52" s="130">
        <v>0</v>
      </c>
      <c r="S52" s="29">
        <f t="shared" si="2"/>
        <v>3.4000000000000008</v>
      </c>
      <c r="T52" s="82" t="e">
        <f ca="1"/>
        <v>#NAME?</v>
      </c>
      <c r="U52" s="82" t="e">
        <f ca="1"/>
        <v>#NAME?</v>
      </c>
      <c r="V52" s="82" t="e">
        <f ca="1"/>
        <v>#NAME?</v>
      </c>
      <c r="W52" s="82" t="e">
        <f ca="1"/>
        <v>#NAME?</v>
      </c>
    </row>
    <row r="53" spans="1:23" x14ac:dyDescent="0.2">
      <c r="A53" s="115" t="s">
        <v>118</v>
      </c>
      <c r="B53" s="130">
        <v>0</v>
      </c>
      <c r="C53" s="29">
        <f t="shared" si="1"/>
        <v>3.600000000000001</v>
      </c>
      <c r="D53" s="82" t="e">
        <f ca="1"/>
        <v>#NAME?</v>
      </c>
      <c r="E53" s="82" t="e">
        <f ca="1"/>
        <v>#NAME?</v>
      </c>
      <c r="F53" s="82" t="e">
        <f ca="1"/>
        <v>#NAME?</v>
      </c>
      <c r="G53" s="82" t="e">
        <f ca="1"/>
        <v>#NAME?</v>
      </c>
      <c r="I53" s="103"/>
      <c r="J53" s="103"/>
      <c r="K53" s="8"/>
      <c r="M53" s="3"/>
      <c r="Q53" s="115" t="s">
        <v>118</v>
      </c>
      <c r="R53" s="130">
        <v>0</v>
      </c>
      <c r="S53" s="29">
        <f t="shared" si="2"/>
        <v>3.600000000000001</v>
      </c>
      <c r="T53" s="82" t="e">
        <f ca="1"/>
        <v>#NAME?</v>
      </c>
      <c r="U53" s="82" t="e">
        <f ca="1"/>
        <v>#NAME?</v>
      </c>
      <c r="V53" s="82" t="e">
        <f ca="1"/>
        <v>#NAME?</v>
      </c>
      <c r="W53" s="82" t="e">
        <f ca="1"/>
        <v>#NAME?</v>
      </c>
    </row>
    <row r="54" spans="1:23" x14ac:dyDescent="0.2">
      <c r="A54" s="119" t="s">
        <v>122</v>
      </c>
      <c r="B54" s="26"/>
      <c r="C54" s="29">
        <f t="shared" si="1"/>
        <v>3.8000000000000012</v>
      </c>
      <c r="D54" s="82" t="e">
        <f ca="1"/>
        <v>#NAME?</v>
      </c>
      <c r="E54" s="82" t="e">
        <f ca="1"/>
        <v>#NAME?</v>
      </c>
      <c r="F54" s="82" t="e">
        <f ca="1"/>
        <v>#NAME?</v>
      </c>
      <c r="G54" s="82" t="e">
        <f ca="1"/>
        <v>#NAME?</v>
      </c>
      <c r="I54" s="7"/>
      <c r="J54" s="7"/>
      <c r="K54" s="8"/>
      <c r="Q54" s="119" t="s">
        <v>122</v>
      </c>
      <c r="R54" s="26"/>
      <c r="S54" s="29">
        <f t="shared" si="2"/>
        <v>3.8000000000000012</v>
      </c>
      <c r="T54" s="82" t="e">
        <f ca="1"/>
        <v>#NAME?</v>
      </c>
      <c r="U54" s="82" t="e">
        <f ca="1"/>
        <v>#NAME?</v>
      </c>
      <c r="V54" s="82" t="e">
        <f ca="1"/>
        <v>#NAME?</v>
      </c>
      <c r="W54" s="82" t="e">
        <f ca="1"/>
        <v>#NAME?</v>
      </c>
    </row>
    <row r="55" spans="1:23" x14ac:dyDescent="0.2">
      <c r="A55" s="115" t="s">
        <v>117</v>
      </c>
      <c r="B55" s="130">
        <v>4</v>
      </c>
      <c r="C55" s="29">
        <f t="shared" si="1"/>
        <v>4.0000000000000009</v>
      </c>
      <c r="D55" s="82" t="e">
        <f ca="1"/>
        <v>#NAME?</v>
      </c>
      <c r="E55" s="82" t="e">
        <f ca="1"/>
        <v>#NAME?</v>
      </c>
      <c r="F55" s="82" t="e">
        <f ca="1"/>
        <v>#NAME?</v>
      </c>
      <c r="G55" s="82" t="e">
        <f ca="1"/>
        <v>#NAME?</v>
      </c>
      <c r="I55" s="7"/>
      <c r="J55" s="7"/>
      <c r="K55" s="8"/>
      <c r="Q55" s="115" t="s">
        <v>117</v>
      </c>
      <c r="R55" s="130">
        <v>4</v>
      </c>
      <c r="S55" s="29">
        <f t="shared" si="2"/>
        <v>4.0000000000000009</v>
      </c>
      <c r="T55" s="82" t="e">
        <f ca="1"/>
        <v>#NAME?</v>
      </c>
      <c r="U55" s="82" t="e">
        <f ca="1"/>
        <v>#NAME?</v>
      </c>
      <c r="V55" s="82" t="e">
        <f ca="1"/>
        <v>#NAME?</v>
      </c>
      <c r="W55" s="82" t="e">
        <f ca="1"/>
        <v>#NAME?</v>
      </c>
    </row>
    <row r="56" spans="1:23" x14ac:dyDescent="0.2">
      <c r="A56" s="115" t="s">
        <v>118</v>
      </c>
      <c r="B56" s="130">
        <v>-3</v>
      </c>
      <c r="C56" s="29">
        <f t="shared" si="1"/>
        <v>4.2000000000000011</v>
      </c>
      <c r="D56" s="82" t="e">
        <f ca="1"/>
        <v>#NAME?</v>
      </c>
      <c r="E56" s="82" t="e">
        <f ca="1"/>
        <v>#NAME?</v>
      </c>
      <c r="F56" s="82" t="e">
        <f ca="1"/>
        <v>#NAME?</v>
      </c>
      <c r="G56" s="82" t="e">
        <f ca="1"/>
        <v>#NAME?</v>
      </c>
      <c r="I56" s="7"/>
      <c r="J56" s="7"/>
      <c r="K56" s="8"/>
      <c r="Q56" s="115" t="s">
        <v>118</v>
      </c>
      <c r="R56" s="130">
        <v>-3</v>
      </c>
      <c r="S56" s="29">
        <f t="shared" si="2"/>
        <v>4.2000000000000011</v>
      </c>
      <c r="T56" s="82" t="e">
        <f ca="1"/>
        <v>#NAME?</v>
      </c>
      <c r="U56" s="82" t="e">
        <f ca="1"/>
        <v>#NAME?</v>
      </c>
      <c r="V56" s="82" t="e">
        <f ca="1"/>
        <v>#NAME?</v>
      </c>
      <c r="W56" s="82" t="e">
        <f ca="1"/>
        <v>#NAME?</v>
      </c>
    </row>
    <row r="57" spans="1:23" ht="13.5" thickBot="1" x14ac:dyDescent="0.25">
      <c r="A57" s="12"/>
      <c r="B57" s="27"/>
      <c r="C57" s="30">
        <f t="shared" si="1"/>
        <v>4.4000000000000012</v>
      </c>
      <c r="D57" s="83" t="e">
        <f ca="1"/>
        <v>#NAME?</v>
      </c>
      <c r="E57" s="83" t="e">
        <f ca="1"/>
        <v>#NAME?</v>
      </c>
      <c r="F57" s="83" t="e">
        <f ca="1"/>
        <v>#NAME?</v>
      </c>
      <c r="G57" s="83" t="e">
        <f ca="1"/>
        <v>#NAME?</v>
      </c>
      <c r="I57" s="7"/>
      <c r="J57" s="7"/>
      <c r="K57" s="8"/>
      <c r="Q57" s="12"/>
      <c r="R57" s="27"/>
      <c r="S57" s="30">
        <f t="shared" si="2"/>
        <v>4.4000000000000012</v>
      </c>
      <c r="T57" s="83" t="e">
        <f ca="1"/>
        <v>#NAME?</v>
      </c>
      <c r="U57" s="83" t="e">
        <f ca="1"/>
        <v>#NAME?</v>
      </c>
      <c r="V57" s="83" t="e">
        <f ca="1"/>
        <v>#NAME?</v>
      </c>
      <c r="W57" s="83" t="e">
        <f ca="1"/>
        <v>#NAME?</v>
      </c>
    </row>
    <row r="59" spans="1:23" x14ac:dyDescent="0.2">
      <c r="A59" s="4"/>
    </row>
    <row r="60" spans="1:23" ht="13.5" thickBot="1" x14ac:dyDescent="0.25">
      <c r="A60" s="10" t="s">
        <v>29</v>
      </c>
      <c r="E60" s="3" t="s">
        <v>113</v>
      </c>
      <c r="F60">
        <v>-1.2</v>
      </c>
    </row>
    <row r="61" spans="1:23" ht="13.5" thickBot="1" x14ac:dyDescent="0.25">
      <c r="A61" s="292" t="s">
        <v>22</v>
      </c>
      <c r="B61" s="293"/>
      <c r="C61" s="294" t="s">
        <v>23</v>
      </c>
      <c r="D61" s="295"/>
      <c r="E61" s="66"/>
      <c r="F61" s="67"/>
      <c r="G61" s="68"/>
      <c r="H61" s="68"/>
      <c r="I61" s="69"/>
      <c r="J61" s="48"/>
      <c r="K61" s="3"/>
      <c r="L61" s="3"/>
      <c r="M61" s="3"/>
    </row>
    <row r="62" spans="1:23" ht="13.5" thickBot="1" x14ac:dyDescent="0.25">
      <c r="A62" s="1" t="s">
        <v>24</v>
      </c>
      <c r="B62" s="14" t="s">
        <v>25</v>
      </c>
      <c r="C62" s="13" t="s">
        <v>24</v>
      </c>
      <c r="D62" s="2" t="s">
        <v>25</v>
      </c>
      <c r="E62" s="71" t="s">
        <v>18</v>
      </c>
      <c r="F62" s="72" t="s">
        <v>19</v>
      </c>
      <c r="G62" s="73" t="s">
        <v>1</v>
      </c>
      <c r="H62" s="72" t="s">
        <v>28</v>
      </c>
      <c r="I62" s="74" t="s">
        <v>31</v>
      </c>
      <c r="J62" s="176"/>
      <c r="K62" s="23"/>
      <c r="L62" s="23"/>
      <c r="M62" s="23"/>
    </row>
    <row r="63" spans="1:23" x14ac:dyDescent="0.2">
      <c r="A63" s="121">
        <v>-3.3258784492101809</v>
      </c>
      <c r="B63" s="126">
        <f>(16-A63^2)^0.5</f>
        <v>2.2222809320784087</v>
      </c>
      <c r="C63" s="110">
        <f>-2.82842712474619</f>
        <v>-2.8284271247461898</v>
      </c>
      <c r="D63" s="291" t="e">
        <f t="array" aca="1" ref="D63:I83" ca="1">csplinea(A63:A73,B63:B73,C63:C83,1,1,F60,F60)</f>
        <v>#NAME?</v>
      </c>
      <c r="E63" s="84" t="e">
        <f ca="1"/>
        <v>#NAME?</v>
      </c>
      <c r="F63" s="85" t="e">
        <f ca="1"/>
        <v>#NAME?</v>
      </c>
      <c r="G63" s="85" t="e">
        <f ca="1"/>
        <v>#NAME?</v>
      </c>
      <c r="H63" s="85" t="e">
        <f ca="1"/>
        <v>#NAME?</v>
      </c>
      <c r="I63" s="88" t="e">
        <f ca="1"/>
        <v>#NAME?</v>
      </c>
      <c r="J63" s="86"/>
      <c r="K63" s="112"/>
      <c r="L63" s="31"/>
      <c r="M63" s="31"/>
      <c r="N63" s="31"/>
      <c r="O63" s="31"/>
      <c r="P63" s="31"/>
      <c r="Q63" s="31"/>
    </row>
    <row r="64" spans="1:23" x14ac:dyDescent="0.2">
      <c r="A64" s="120">
        <f>+A63-$A$63/5</f>
        <v>-2.6607027593681449</v>
      </c>
      <c r="B64" s="127">
        <f>(16-A64^2)^0.5</f>
        <v>2.9867475330684945</v>
      </c>
      <c r="C64" s="111">
        <v>-2.545584412271571</v>
      </c>
      <c r="D64" s="87" t="e">
        <f ca="1"/>
        <v>#NAME?</v>
      </c>
      <c r="E64" s="84" t="e">
        <f ca="1"/>
        <v>#NAME?</v>
      </c>
      <c r="F64" s="85" t="e">
        <f ca="1"/>
        <v>#NAME?</v>
      </c>
      <c r="G64" s="85" t="e">
        <f ca="1"/>
        <v>#NAME?</v>
      </c>
      <c r="H64" s="85" t="e">
        <f ca="1"/>
        <v>#NAME?</v>
      </c>
      <c r="I64" s="88" t="e">
        <f ca="1"/>
        <v>#NAME?</v>
      </c>
      <c r="J64" s="85"/>
      <c r="K64" s="24"/>
      <c r="L64" s="31"/>
      <c r="M64" s="31"/>
      <c r="N64" s="31"/>
      <c r="O64" s="31"/>
      <c r="P64" s="31"/>
      <c r="Q64" s="31"/>
      <c r="S64" t="e">
        <f t="array" aca="1" ref="S64:S83" ca="1">chsplinea(A63:A73,B63:B73,C63:C83,FALSE)</f>
        <v>#NAME?</v>
      </c>
    </row>
    <row r="65" spans="1:19" x14ac:dyDescent="0.2">
      <c r="A65" s="120">
        <f t="shared" ref="A65:A73" si="3">+A64-$A$63/5</f>
        <v>-1.9955270695261087</v>
      </c>
      <c r="B65" s="127">
        <f t="shared" ref="B65:B73" si="4">(16-A65^2)^0.5</f>
        <v>3.4666802152475125</v>
      </c>
      <c r="C65" s="111">
        <v>-2.2627416997969521</v>
      </c>
      <c r="D65" s="87" t="e">
        <f ca="1"/>
        <v>#NAME?</v>
      </c>
      <c r="E65" s="84" t="e">
        <f ca="1"/>
        <v>#NAME?</v>
      </c>
      <c r="F65" s="85" t="e">
        <f ca="1"/>
        <v>#NAME?</v>
      </c>
      <c r="G65" s="85" t="e">
        <f ca="1"/>
        <v>#NAME?</v>
      </c>
      <c r="H65" s="85" t="e">
        <f ca="1"/>
        <v>#NAME?</v>
      </c>
      <c r="I65" s="88" t="e">
        <f ca="1"/>
        <v>#NAME?</v>
      </c>
      <c r="J65" s="85"/>
      <c r="K65" s="24"/>
      <c r="L65" s="31"/>
      <c r="M65" s="31"/>
      <c r="N65" s="31"/>
      <c r="O65" s="31"/>
      <c r="P65" s="31"/>
      <c r="Q65" s="31"/>
      <c r="S65" t="e">
        <f ca="1"/>
        <v>#NAME?</v>
      </c>
    </row>
    <row r="66" spans="1:19" x14ac:dyDescent="0.2">
      <c r="A66" s="120">
        <f t="shared" si="3"/>
        <v>-1.3303513796840725</v>
      </c>
      <c r="B66" s="127">
        <f t="shared" si="4"/>
        <v>3.7722891202256337</v>
      </c>
      <c r="C66" s="111">
        <v>-1.9798989873223332</v>
      </c>
      <c r="D66" s="87" t="e">
        <f ca="1"/>
        <v>#NAME?</v>
      </c>
      <c r="E66" s="84" t="e">
        <f ca="1"/>
        <v>#NAME?</v>
      </c>
      <c r="F66" s="85" t="e">
        <f ca="1"/>
        <v>#NAME?</v>
      </c>
      <c r="G66" s="85" t="e">
        <f ca="1"/>
        <v>#NAME?</v>
      </c>
      <c r="H66" s="85" t="e">
        <f ca="1"/>
        <v>#NAME?</v>
      </c>
      <c r="I66" s="88" t="e">
        <f ca="1"/>
        <v>#NAME?</v>
      </c>
      <c r="J66" s="85"/>
      <c r="K66" s="24"/>
      <c r="L66" s="31"/>
      <c r="M66" s="31"/>
      <c r="N66" s="31"/>
      <c r="O66" s="31"/>
      <c r="P66" s="31"/>
      <c r="Q66" s="31"/>
      <c r="S66" t="e">
        <f ca="1"/>
        <v>#NAME?</v>
      </c>
    </row>
    <row r="67" spans="1:19" x14ac:dyDescent="0.2">
      <c r="A67" s="120">
        <f t="shared" si="3"/>
        <v>-0.66517568984203623</v>
      </c>
      <c r="B67" s="127">
        <f t="shared" si="4"/>
        <v>3.9443049199628533</v>
      </c>
      <c r="C67" s="111">
        <v>-1.6970562748477143</v>
      </c>
      <c r="D67" s="87" t="e">
        <f ca="1"/>
        <v>#NAME?</v>
      </c>
      <c r="E67" s="84" t="e">
        <f ca="1"/>
        <v>#NAME?</v>
      </c>
      <c r="F67" s="85" t="e">
        <f ca="1"/>
        <v>#NAME?</v>
      </c>
      <c r="G67" s="85" t="e">
        <f ca="1"/>
        <v>#NAME?</v>
      </c>
      <c r="H67" s="85" t="e">
        <f ca="1"/>
        <v>#NAME?</v>
      </c>
      <c r="I67" s="88" t="e">
        <f ca="1"/>
        <v>#NAME?</v>
      </c>
      <c r="J67" s="85"/>
      <c r="K67" s="24"/>
      <c r="L67" s="31"/>
      <c r="M67" s="31"/>
      <c r="N67" s="31"/>
      <c r="O67" s="31"/>
      <c r="P67" s="31"/>
      <c r="Q67" s="31"/>
      <c r="S67" t="e">
        <f ca="1"/>
        <v>#NAME?</v>
      </c>
    </row>
    <row r="68" spans="1:19" x14ac:dyDescent="0.2">
      <c r="A68" s="120">
        <f t="shared" si="3"/>
        <v>0</v>
      </c>
      <c r="B68" s="127">
        <f t="shared" si="4"/>
        <v>4</v>
      </c>
      <c r="C68" s="111">
        <v>-1.4142135623730954</v>
      </c>
      <c r="D68" s="87" t="e">
        <f ca="1"/>
        <v>#NAME?</v>
      </c>
      <c r="E68" s="84" t="e">
        <f ca="1"/>
        <v>#NAME?</v>
      </c>
      <c r="F68" s="85" t="e">
        <f ca="1"/>
        <v>#NAME?</v>
      </c>
      <c r="G68" s="85" t="e">
        <f ca="1"/>
        <v>#NAME?</v>
      </c>
      <c r="H68" s="85" t="e">
        <f ca="1"/>
        <v>#NAME?</v>
      </c>
      <c r="I68" s="88" t="e">
        <f ca="1"/>
        <v>#NAME?</v>
      </c>
      <c r="J68" s="85"/>
      <c r="K68" s="24"/>
      <c r="L68" s="31"/>
      <c r="M68" s="31"/>
      <c r="N68" s="31"/>
      <c r="O68" s="31"/>
      <c r="P68" s="31"/>
      <c r="Q68" s="31"/>
      <c r="S68" t="e">
        <f ca="1"/>
        <v>#NAME?</v>
      </c>
    </row>
    <row r="69" spans="1:19" x14ac:dyDescent="0.2">
      <c r="A69" s="120">
        <f t="shared" si="3"/>
        <v>0.66517568984203623</v>
      </c>
      <c r="B69" s="127">
        <f t="shared" si="4"/>
        <v>3.9443049199628533</v>
      </c>
      <c r="C69" s="111">
        <v>-1.1313708498984765</v>
      </c>
      <c r="D69" s="87" t="e">
        <f ca="1"/>
        <v>#NAME?</v>
      </c>
      <c r="E69" s="84" t="e">
        <f ca="1"/>
        <v>#NAME?</v>
      </c>
      <c r="F69" s="85" t="e">
        <f ca="1"/>
        <v>#NAME?</v>
      </c>
      <c r="G69" s="85" t="e">
        <f ca="1"/>
        <v>#NAME?</v>
      </c>
      <c r="H69" s="85" t="e">
        <f ca="1"/>
        <v>#NAME?</v>
      </c>
      <c r="I69" s="88" t="e">
        <f ca="1"/>
        <v>#NAME?</v>
      </c>
      <c r="J69" s="85"/>
      <c r="K69" s="24"/>
      <c r="L69" s="31"/>
      <c r="M69" s="31"/>
      <c r="N69" s="31"/>
      <c r="O69" s="31"/>
      <c r="P69" s="31"/>
      <c r="Q69" s="31"/>
      <c r="S69" t="e">
        <f ca="1"/>
        <v>#NAME?</v>
      </c>
    </row>
    <row r="70" spans="1:19" x14ac:dyDescent="0.2">
      <c r="A70" s="120">
        <f t="shared" si="3"/>
        <v>1.3303513796840725</v>
      </c>
      <c r="B70" s="127">
        <f t="shared" si="4"/>
        <v>3.7722891202256337</v>
      </c>
      <c r="C70" s="111">
        <v>-0.84852813742385746</v>
      </c>
      <c r="D70" s="87" t="e">
        <f ca="1"/>
        <v>#NAME?</v>
      </c>
      <c r="E70" s="84" t="e">
        <f ca="1"/>
        <v>#NAME?</v>
      </c>
      <c r="F70" s="85" t="e">
        <f ca="1"/>
        <v>#NAME?</v>
      </c>
      <c r="G70" s="85" t="e">
        <f ca="1"/>
        <v>#NAME?</v>
      </c>
      <c r="H70" s="85" t="e">
        <f ca="1"/>
        <v>#NAME?</v>
      </c>
      <c r="I70" s="88" t="e">
        <f ca="1"/>
        <v>#NAME?</v>
      </c>
      <c r="J70" s="85"/>
      <c r="K70" s="24"/>
      <c r="L70" s="31"/>
      <c r="M70" s="31"/>
      <c r="N70" s="31"/>
      <c r="O70" s="31"/>
      <c r="P70" s="31"/>
      <c r="Q70" s="31"/>
      <c r="S70" t="e">
        <f ca="1"/>
        <v>#NAME?</v>
      </c>
    </row>
    <row r="71" spans="1:19" x14ac:dyDescent="0.2">
      <c r="A71" s="120">
        <f t="shared" si="3"/>
        <v>1.9955270695261087</v>
      </c>
      <c r="B71" s="127">
        <f t="shared" si="4"/>
        <v>3.4666802152475125</v>
      </c>
      <c r="C71" s="111">
        <v>-0.56568542494923846</v>
      </c>
      <c r="D71" s="87" t="e">
        <f ca="1"/>
        <v>#NAME?</v>
      </c>
      <c r="E71" s="84" t="e">
        <f ca="1"/>
        <v>#NAME?</v>
      </c>
      <c r="F71" s="85" t="e">
        <f ca="1"/>
        <v>#NAME?</v>
      </c>
      <c r="G71" s="85" t="e">
        <f ca="1"/>
        <v>#NAME?</v>
      </c>
      <c r="H71" s="85" t="e">
        <f ca="1"/>
        <v>#NAME?</v>
      </c>
      <c r="I71" s="88" t="e">
        <f ca="1"/>
        <v>#NAME?</v>
      </c>
      <c r="J71" s="85"/>
      <c r="K71" s="24"/>
      <c r="L71" s="31"/>
      <c r="M71" s="31"/>
      <c r="N71" s="31"/>
      <c r="O71" s="31"/>
      <c r="P71" s="31"/>
      <c r="Q71" s="31"/>
      <c r="S71" t="e">
        <f ca="1"/>
        <v>#NAME?</v>
      </c>
    </row>
    <row r="72" spans="1:19" x14ac:dyDescent="0.2">
      <c r="A72" s="120">
        <f t="shared" si="3"/>
        <v>2.6607027593681449</v>
      </c>
      <c r="B72" s="127">
        <f t="shared" si="4"/>
        <v>2.9867475330684945</v>
      </c>
      <c r="C72" s="111">
        <v>-0.28284271247461945</v>
      </c>
      <c r="D72" s="87" t="e">
        <f ca="1"/>
        <v>#NAME?</v>
      </c>
      <c r="E72" s="84" t="e">
        <f ca="1"/>
        <v>#NAME?</v>
      </c>
      <c r="F72" s="85" t="e">
        <f ca="1"/>
        <v>#NAME?</v>
      </c>
      <c r="G72" s="85" t="e">
        <f ca="1"/>
        <v>#NAME?</v>
      </c>
      <c r="H72" s="85" t="e">
        <f ca="1"/>
        <v>#NAME?</v>
      </c>
      <c r="I72" s="88" t="e">
        <f ca="1"/>
        <v>#NAME?</v>
      </c>
      <c r="J72" s="85"/>
      <c r="K72" s="24"/>
      <c r="L72" s="31"/>
      <c r="M72" s="31"/>
      <c r="N72" s="31"/>
      <c r="O72" s="31"/>
      <c r="P72" s="31"/>
      <c r="Q72" s="31"/>
      <c r="S72" t="e">
        <f ca="1"/>
        <v>#NAME?</v>
      </c>
    </row>
    <row r="73" spans="1:19" x14ac:dyDescent="0.2">
      <c r="A73" s="120">
        <f t="shared" si="3"/>
        <v>3.3258784492101814</v>
      </c>
      <c r="B73" s="127">
        <f t="shared" si="4"/>
        <v>2.2222809320784083</v>
      </c>
      <c r="C73" s="111">
        <v>-4.4408920985006262E-16</v>
      </c>
      <c r="D73" s="87" t="e">
        <f ca="1"/>
        <v>#NAME?</v>
      </c>
      <c r="E73" s="84" t="e">
        <f ca="1"/>
        <v>#NAME?</v>
      </c>
      <c r="F73" s="85" t="e">
        <f ca="1"/>
        <v>#NAME?</v>
      </c>
      <c r="G73" s="85" t="e">
        <f ca="1"/>
        <v>#NAME?</v>
      </c>
      <c r="H73" s="85" t="e">
        <f ca="1"/>
        <v>#NAME?</v>
      </c>
      <c r="I73" s="88" t="e">
        <f ca="1"/>
        <v>#NAME?</v>
      </c>
      <c r="J73" s="85"/>
      <c r="K73" s="24"/>
      <c r="L73" s="31"/>
      <c r="M73" s="31"/>
      <c r="N73" s="31"/>
      <c r="O73" s="31"/>
      <c r="P73" s="31"/>
      <c r="Q73" s="31"/>
      <c r="S73" t="e">
        <f ca="1"/>
        <v>#NAME?</v>
      </c>
    </row>
    <row r="74" spans="1:19" x14ac:dyDescent="0.2">
      <c r="A74" s="11"/>
      <c r="B74" s="26"/>
      <c r="C74" s="111">
        <v>0.28284271247461856</v>
      </c>
      <c r="D74" s="87" t="e">
        <f ca="1"/>
        <v>#NAME?</v>
      </c>
      <c r="E74" s="84" t="e">
        <f ca="1"/>
        <v>#NAME?</v>
      </c>
      <c r="F74" s="85" t="e">
        <f ca="1"/>
        <v>#NAME?</v>
      </c>
      <c r="G74" s="85" t="e">
        <f ca="1"/>
        <v>#NAME?</v>
      </c>
      <c r="H74" s="85" t="e">
        <f ca="1"/>
        <v>#NAME?</v>
      </c>
      <c r="I74" s="88" t="e">
        <f ca="1"/>
        <v>#NAME?</v>
      </c>
      <c r="J74" s="85"/>
      <c r="K74" s="24"/>
      <c r="L74" s="31"/>
      <c r="M74" s="31"/>
      <c r="N74" s="31"/>
      <c r="O74" s="31"/>
      <c r="P74" s="31"/>
      <c r="Q74" s="31"/>
      <c r="S74" t="e">
        <f ca="1"/>
        <v>#NAME?</v>
      </c>
    </row>
    <row r="75" spans="1:19" x14ac:dyDescent="0.2">
      <c r="A75" s="11"/>
      <c r="B75" s="26"/>
      <c r="C75" s="111">
        <v>0.56568542494923757</v>
      </c>
      <c r="D75" s="87" t="e">
        <f ca="1"/>
        <v>#NAME?</v>
      </c>
      <c r="E75" s="84" t="e">
        <f ca="1"/>
        <v>#NAME?</v>
      </c>
      <c r="F75" s="85" t="e">
        <f ca="1"/>
        <v>#NAME?</v>
      </c>
      <c r="G75" s="85" t="e">
        <f ca="1"/>
        <v>#NAME?</v>
      </c>
      <c r="H75" s="85" t="e">
        <f ca="1"/>
        <v>#NAME?</v>
      </c>
      <c r="I75" s="88" t="e">
        <f ca="1"/>
        <v>#NAME?</v>
      </c>
      <c r="J75" s="85"/>
      <c r="K75" s="24"/>
      <c r="L75" s="31"/>
      <c r="M75" s="31"/>
      <c r="N75" s="31"/>
      <c r="O75" s="31"/>
      <c r="P75" s="31"/>
      <c r="Q75" s="31"/>
      <c r="S75" t="e">
        <f ca="1"/>
        <v>#NAME?</v>
      </c>
    </row>
    <row r="76" spans="1:19" x14ac:dyDescent="0.2">
      <c r="A76" s="11"/>
      <c r="B76" s="26"/>
      <c r="C76" s="111">
        <v>0.84852813742385658</v>
      </c>
      <c r="D76" s="87" t="e">
        <f ca="1"/>
        <v>#NAME?</v>
      </c>
      <c r="E76" s="84" t="e">
        <f ca="1"/>
        <v>#NAME?</v>
      </c>
      <c r="F76" s="89" t="e">
        <f ca="1"/>
        <v>#NAME?</v>
      </c>
      <c r="G76" s="85" t="e">
        <f ca="1"/>
        <v>#NAME?</v>
      </c>
      <c r="H76" s="85" t="e">
        <f ca="1"/>
        <v>#NAME?</v>
      </c>
      <c r="I76" s="88" t="e">
        <f ca="1"/>
        <v>#NAME?</v>
      </c>
      <c r="J76" s="85"/>
      <c r="K76" s="24"/>
      <c r="L76" s="31"/>
      <c r="M76" s="31"/>
      <c r="N76" s="31"/>
      <c r="O76" s="31"/>
      <c r="P76" s="31"/>
      <c r="Q76" s="31"/>
      <c r="S76" t="e">
        <f ca="1"/>
        <v>#NAME?</v>
      </c>
    </row>
    <row r="77" spans="1:19" x14ac:dyDescent="0.2">
      <c r="A77" s="11"/>
      <c r="B77" s="26"/>
      <c r="C77" s="111">
        <v>1.1313708498984756</v>
      </c>
      <c r="D77" s="87" t="e">
        <f ca="1"/>
        <v>#NAME?</v>
      </c>
      <c r="E77" s="84" t="e">
        <f ca="1"/>
        <v>#NAME?</v>
      </c>
      <c r="F77" s="85" t="e">
        <f ca="1"/>
        <v>#NAME?</v>
      </c>
      <c r="G77" s="85" t="e">
        <f ca="1"/>
        <v>#NAME?</v>
      </c>
      <c r="H77" s="85" t="e">
        <f ca="1"/>
        <v>#NAME?</v>
      </c>
      <c r="I77" s="88" t="e">
        <f ca="1"/>
        <v>#NAME?</v>
      </c>
      <c r="J77" s="85"/>
      <c r="K77" s="24"/>
      <c r="L77" s="31"/>
      <c r="M77" s="31"/>
      <c r="N77" s="31"/>
      <c r="O77" s="31"/>
      <c r="P77" s="31"/>
      <c r="Q77" s="31"/>
      <c r="S77" t="e">
        <f ca="1"/>
        <v>#NAME?</v>
      </c>
    </row>
    <row r="78" spans="1:19" x14ac:dyDescent="0.2">
      <c r="A78" s="11"/>
      <c r="B78" s="26"/>
      <c r="C78" s="111">
        <v>1.4142135623730945</v>
      </c>
      <c r="D78" s="87" t="e">
        <f ca="1"/>
        <v>#NAME?</v>
      </c>
      <c r="E78" s="84" t="e">
        <f ca="1"/>
        <v>#NAME?</v>
      </c>
      <c r="F78" s="85" t="e">
        <f ca="1"/>
        <v>#NAME?</v>
      </c>
      <c r="G78" s="85" t="e">
        <f ca="1"/>
        <v>#NAME?</v>
      </c>
      <c r="H78" s="85" t="e">
        <f ca="1"/>
        <v>#NAME?</v>
      </c>
      <c r="I78" s="88" t="e">
        <f ca="1"/>
        <v>#NAME?</v>
      </c>
      <c r="J78" s="85"/>
      <c r="K78" s="24"/>
      <c r="L78" s="31"/>
      <c r="M78" s="31"/>
      <c r="N78" s="31"/>
      <c r="O78" s="31"/>
      <c r="P78" s="31"/>
      <c r="Q78" s="31"/>
      <c r="S78" t="e">
        <f ca="1"/>
        <v>#NAME?</v>
      </c>
    </row>
    <row r="79" spans="1:19" x14ac:dyDescent="0.2">
      <c r="A79" s="11"/>
      <c r="B79" s="26"/>
      <c r="C79" s="111">
        <v>1.6970562748477134</v>
      </c>
      <c r="D79" s="87" t="e">
        <f ca="1"/>
        <v>#NAME?</v>
      </c>
      <c r="E79" s="84" t="e">
        <f ca="1"/>
        <v>#NAME?</v>
      </c>
      <c r="F79" s="85" t="e">
        <f ca="1"/>
        <v>#NAME?</v>
      </c>
      <c r="G79" s="85" t="e">
        <f ca="1"/>
        <v>#NAME?</v>
      </c>
      <c r="H79" s="85" t="e">
        <f ca="1"/>
        <v>#NAME?</v>
      </c>
      <c r="I79" s="88" t="e">
        <f ca="1"/>
        <v>#NAME?</v>
      </c>
      <c r="J79" s="85"/>
      <c r="K79" s="24"/>
      <c r="L79" s="31"/>
      <c r="M79" s="31"/>
      <c r="N79" s="31"/>
      <c r="O79" s="31"/>
      <c r="P79" s="31"/>
      <c r="Q79" s="31"/>
      <c r="S79" t="e">
        <f ca="1"/>
        <v>#NAME?</v>
      </c>
    </row>
    <row r="80" spans="1:19" x14ac:dyDescent="0.2">
      <c r="A80" s="11"/>
      <c r="B80" s="26"/>
      <c r="C80" s="111">
        <v>1.9798989873223323</v>
      </c>
      <c r="D80" s="87" t="e">
        <f ca="1"/>
        <v>#NAME?</v>
      </c>
      <c r="E80" s="84" t="e">
        <f ca="1"/>
        <v>#NAME?</v>
      </c>
      <c r="F80" s="85" t="e">
        <f ca="1"/>
        <v>#NAME?</v>
      </c>
      <c r="G80" s="85" t="e">
        <f ca="1"/>
        <v>#NAME?</v>
      </c>
      <c r="H80" s="85" t="e">
        <f ca="1"/>
        <v>#NAME?</v>
      </c>
      <c r="I80" s="88" t="e">
        <f ca="1"/>
        <v>#NAME?</v>
      </c>
      <c r="J80" s="85"/>
      <c r="K80" s="24"/>
      <c r="L80" s="31"/>
      <c r="M80" s="31"/>
      <c r="N80" s="31"/>
      <c r="O80" s="31"/>
      <c r="P80" s="31"/>
      <c r="Q80" s="31"/>
      <c r="S80" t="e">
        <f ca="1"/>
        <v>#NAME?</v>
      </c>
    </row>
    <row r="81" spans="1:19" x14ac:dyDescent="0.2">
      <c r="A81" s="11"/>
      <c r="B81" s="26"/>
      <c r="C81" s="111">
        <v>2.2627416997969512</v>
      </c>
      <c r="D81" s="87" t="e">
        <f ca="1"/>
        <v>#NAME?</v>
      </c>
      <c r="E81" s="84" t="e">
        <f ca="1"/>
        <v>#NAME?</v>
      </c>
      <c r="F81" s="85" t="e">
        <f ca="1"/>
        <v>#NAME?</v>
      </c>
      <c r="G81" s="85" t="e">
        <f ca="1"/>
        <v>#NAME?</v>
      </c>
      <c r="H81" s="85" t="e">
        <f ca="1"/>
        <v>#NAME?</v>
      </c>
      <c r="I81" s="88" t="e">
        <f ca="1"/>
        <v>#NAME?</v>
      </c>
      <c r="J81" s="85"/>
      <c r="K81" s="24"/>
      <c r="L81" s="31"/>
      <c r="M81" s="31"/>
      <c r="N81" s="31"/>
      <c r="O81" s="31"/>
      <c r="P81" s="31"/>
      <c r="Q81" s="31"/>
      <c r="S81" t="e">
        <f ca="1"/>
        <v>#NAME?</v>
      </c>
    </row>
    <row r="82" spans="1:19" x14ac:dyDescent="0.2">
      <c r="A82" s="11"/>
      <c r="B82" s="26"/>
      <c r="C82" s="111">
        <v>2.5455844122715701</v>
      </c>
      <c r="D82" s="87" t="e">
        <f ca="1"/>
        <v>#NAME?</v>
      </c>
      <c r="E82" s="84" t="e">
        <f ca="1"/>
        <v>#NAME?</v>
      </c>
      <c r="F82" s="85" t="e">
        <f ca="1"/>
        <v>#NAME?</v>
      </c>
      <c r="G82" s="85" t="e">
        <f ca="1"/>
        <v>#NAME?</v>
      </c>
      <c r="H82" s="85" t="e">
        <f ca="1"/>
        <v>#NAME?</v>
      </c>
      <c r="I82" s="88" t="e">
        <f ca="1"/>
        <v>#NAME?</v>
      </c>
      <c r="J82" s="85"/>
      <c r="K82" s="24"/>
      <c r="L82" s="31"/>
      <c r="M82" s="31"/>
      <c r="N82" s="31"/>
      <c r="O82" s="31"/>
      <c r="P82" s="31"/>
      <c r="Q82" s="31"/>
      <c r="S82" t="e">
        <f ca="1"/>
        <v>#NAME?</v>
      </c>
    </row>
    <row r="83" spans="1:19" x14ac:dyDescent="0.2">
      <c r="A83" s="11"/>
      <c r="B83" s="26"/>
      <c r="C83" s="111">
        <v>2.828427124746189</v>
      </c>
      <c r="D83" s="87" t="e">
        <f ca="1"/>
        <v>#NAME?</v>
      </c>
      <c r="E83" s="84" t="e">
        <f ca="1"/>
        <v>#NAME?</v>
      </c>
      <c r="F83" s="85" t="e">
        <f ca="1"/>
        <v>#NAME?</v>
      </c>
      <c r="G83" s="85" t="e">
        <f ca="1"/>
        <v>#NAME?</v>
      </c>
      <c r="H83" s="85" t="e">
        <f ca="1"/>
        <v>#NAME?</v>
      </c>
      <c r="I83" s="88" t="e">
        <f ca="1"/>
        <v>#NAME?</v>
      </c>
      <c r="J83" s="85"/>
      <c r="K83" s="24"/>
      <c r="L83" s="31"/>
      <c r="M83" s="31"/>
      <c r="N83" s="31"/>
      <c r="O83" s="31"/>
      <c r="P83" s="31"/>
      <c r="Q83" s="31"/>
      <c r="S83" t="e">
        <f ca="1"/>
        <v>#NAME?</v>
      </c>
    </row>
    <row r="84" spans="1:19" ht="13.5" thickBot="1" x14ac:dyDescent="0.25">
      <c r="A84" s="12"/>
      <c r="B84" s="27"/>
      <c r="C84" s="30"/>
      <c r="D84" s="20"/>
      <c r="E84" s="12"/>
      <c r="F84" s="27"/>
      <c r="G84" s="27"/>
      <c r="H84" s="27"/>
      <c r="I84" s="70"/>
      <c r="J84" s="26"/>
    </row>
    <row r="85" spans="1:19" x14ac:dyDescent="0.2">
      <c r="F85" s="31"/>
      <c r="G85" s="106"/>
      <c r="H85" s="24"/>
      <c r="I85" s="24"/>
      <c r="J85" s="24"/>
      <c r="M85" s="24"/>
      <c r="P85" s="31"/>
      <c r="Q85" s="31"/>
    </row>
    <row r="86" spans="1:19" x14ac:dyDescent="0.2">
      <c r="A86" s="5" t="s">
        <v>62</v>
      </c>
      <c r="F86" s="31"/>
      <c r="J86" s="31"/>
      <c r="M86" s="3"/>
      <c r="N86" s="3"/>
      <c r="O86" s="3"/>
      <c r="P86" s="113"/>
      <c r="Q86" s="113"/>
      <c r="R86" s="3"/>
    </row>
    <row r="87" spans="1:19" ht="13.5" thickBot="1" x14ac:dyDescent="0.25">
      <c r="A87" s="3"/>
      <c r="G87" s="31"/>
      <c r="R87" s="25"/>
    </row>
    <row r="88" spans="1:19" ht="13.5" thickBot="1" x14ac:dyDescent="0.25">
      <c r="A88" s="3"/>
      <c r="B88" s="21" t="s">
        <v>111</v>
      </c>
      <c r="C88" s="75" t="s">
        <v>98</v>
      </c>
      <c r="D88" s="75" t="s">
        <v>0</v>
      </c>
      <c r="E88" s="75" t="s">
        <v>3</v>
      </c>
      <c r="F88" s="22" t="s">
        <v>2</v>
      </c>
      <c r="K88" s="47"/>
      <c r="R88" s="25"/>
    </row>
    <row r="89" spans="1:19" x14ac:dyDescent="0.2">
      <c r="B89" s="96" t="e">
        <f t="array" aca="1" ref="B89:F99" ca="1">csplinea(A63:A73,B63:B73,C63:C83,2,1,F60,F60)</f>
        <v>#NAME?</v>
      </c>
      <c r="C89" s="100" t="e">
        <f ca="1"/>
        <v>#NAME?</v>
      </c>
      <c r="D89" s="98" t="e">
        <f ca="1"/>
        <v>#NAME?</v>
      </c>
      <c r="E89" s="98" t="e">
        <f ca="1"/>
        <v>#NAME?</v>
      </c>
      <c r="F89" s="90" t="e">
        <f ca="1"/>
        <v>#NAME?</v>
      </c>
      <c r="G89" s="106"/>
      <c r="H89" s="177"/>
      <c r="I89" s="177"/>
      <c r="L89" s="24"/>
      <c r="R89" s="25"/>
    </row>
    <row r="90" spans="1:19" x14ac:dyDescent="0.2">
      <c r="B90" s="97" t="e">
        <f ca="1"/>
        <v>#NAME?</v>
      </c>
      <c r="C90" s="101" t="e">
        <f ca="1"/>
        <v>#NAME?</v>
      </c>
      <c r="D90" s="99" t="e">
        <f ca="1"/>
        <v>#NAME?</v>
      </c>
      <c r="E90" s="99" t="e">
        <f ca="1"/>
        <v>#NAME?</v>
      </c>
      <c r="F90" s="92" t="e">
        <f ca="1"/>
        <v>#NAME?</v>
      </c>
      <c r="G90" s="106"/>
      <c r="H90" s="106"/>
      <c r="I90" s="177"/>
      <c r="L90" s="24"/>
      <c r="R90" s="25"/>
    </row>
    <row r="91" spans="1:19" x14ac:dyDescent="0.2">
      <c r="B91" s="97" t="e">
        <f ca="1"/>
        <v>#NAME?</v>
      </c>
      <c r="C91" s="101" t="e">
        <f ca="1"/>
        <v>#NAME?</v>
      </c>
      <c r="D91" s="99" t="e">
        <f ca="1"/>
        <v>#NAME?</v>
      </c>
      <c r="E91" s="99" t="e">
        <f ca="1"/>
        <v>#NAME?</v>
      </c>
      <c r="F91" s="92" t="e">
        <f ca="1"/>
        <v>#NAME?</v>
      </c>
      <c r="G91" s="106"/>
      <c r="H91" s="106"/>
      <c r="I91" s="177"/>
      <c r="L91" s="24"/>
      <c r="R91" s="25"/>
    </row>
    <row r="92" spans="1:19" x14ac:dyDescent="0.2">
      <c r="B92" s="97" t="e">
        <f ca="1"/>
        <v>#NAME?</v>
      </c>
      <c r="C92" s="101" t="e">
        <f ca="1"/>
        <v>#NAME?</v>
      </c>
      <c r="D92" s="99" t="e">
        <f ca="1"/>
        <v>#NAME?</v>
      </c>
      <c r="E92" s="99" t="e">
        <f ca="1"/>
        <v>#NAME?</v>
      </c>
      <c r="F92" s="92" t="e">
        <f ca="1"/>
        <v>#NAME?</v>
      </c>
      <c r="G92" s="106"/>
      <c r="H92" s="106"/>
      <c r="I92" s="177"/>
      <c r="L92" s="24"/>
      <c r="R92" s="25"/>
    </row>
    <row r="93" spans="1:19" x14ac:dyDescent="0.2">
      <c r="B93" s="97" t="e">
        <f ca="1"/>
        <v>#NAME?</v>
      </c>
      <c r="C93" s="101" t="e">
        <f ca="1"/>
        <v>#NAME?</v>
      </c>
      <c r="D93" s="99" t="e">
        <f ca="1"/>
        <v>#NAME?</v>
      </c>
      <c r="E93" s="99" t="e">
        <f ca="1"/>
        <v>#NAME?</v>
      </c>
      <c r="F93" s="92" t="e">
        <f ca="1"/>
        <v>#NAME?</v>
      </c>
      <c r="G93" s="106"/>
      <c r="H93" s="106"/>
      <c r="I93" s="177"/>
      <c r="L93" s="24"/>
      <c r="R93" s="25"/>
    </row>
    <row r="94" spans="1:19" x14ac:dyDescent="0.2">
      <c r="B94" s="97" t="e">
        <f ca="1"/>
        <v>#NAME?</v>
      </c>
      <c r="C94" s="101" t="e">
        <f ca="1"/>
        <v>#NAME?</v>
      </c>
      <c r="D94" s="99" t="e">
        <f ca="1"/>
        <v>#NAME?</v>
      </c>
      <c r="E94" s="99" t="e">
        <f ca="1"/>
        <v>#NAME?</v>
      </c>
      <c r="F94" s="92" t="e">
        <f ca="1"/>
        <v>#NAME?</v>
      </c>
      <c r="G94" s="106"/>
      <c r="H94" s="106"/>
      <c r="I94" s="177"/>
      <c r="L94" s="24"/>
      <c r="R94" s="25"/>
    </row>
    <row r="95" spans="1:19" x14ac:dyDescent="0.2">
      <c r="B95" s="97" t="e">
        <f ca="1"/>
        <v>#NAME?</v>
      </c>
      <c r="C95" s="101" t="e">
        <f ca="1"/>
        <v>#NAME?</v>
      </c>
      <c r="D95" s="99" t="e">
        <f ca="1"/>
        <v>#NAME?</v>
      </c>
      <c r="E95" s="99" t="e">
        <f ca="1"/>
        <v>#NAME?</v>
      </c>
      <c r="F95" s="92" t="e">
        <f ca="1"/>
        <v>#NAME?</v>
      </c>
      <c r="G95" s="106"/>
      <c r="H95" s="106"/>
      <c r="I95" s="177"/>
      <c r="L95" s="24"/>
    </row>
    <row r="96" spans="1:19" x14ac:dyDescent="0.2">
      <c r="B96" s="97" t="e">
        <f ca="1"/>
        <v>#NAME?</v>
      </c>
      <c r="C96" s="101" t="e">
        <f ca="1"/>
        <v>#NAME?</v>
      </c>
      <c r="D96" s="99" t="e">
        <f ca="1"/>
        <v>#NAME?</v>
      </c>
      <c r="E96" s="99" t="e">
        <f ca="1"/>
        <v>#NAME?</v>
      </c>
      <c r="F96" s="92" t="e">
        <f ca="1"/>
        <v>#NAME?</v>
      </c>
      <c r="G96" s="106"/>
      <c r="H96" s="106"/>
      <c r="I96" s="177"/>
      <c r="L96" s="24"/>
    </row>
    <row r="97" spans="1:15" x14ac:dyDescent="0.2">
      <c r="B97" s="97" t="e">
        <f ca="1"/>
        <v>#NAME?</v>
      </c>
      <c r="C97" s="101" t="e">
        <f ca="1"/>
        <v>#NAME?</v>
      </c>
      <c r="D97" s="99" t="e">
        <f ca="1"/>
        <v>#NAME?</v>
      </c>
      <c r="E97" s="99" t="e">
        <f ca="1"/>
        <v>#NAME?</v>
      </c>
      <c r="F97" s="92" t="e">
        <f ca="1"/>
        <v>#NAME?</v>
      </c>
      <c r="G97" s="106"/>
      <c r="H97" s="106"/>
      <c r="I97" s="177"/>
      <c r="L97" s="24"/>
    </row>
    <row r="98" spans="1:15" x14ac:dyDescent="0.2">
      <c r="B98" s="97" t="e">
        <f ca="1"/>
        <v>#NAME?</v>
      </c>
      <c r="C98" s="101" t="e">
        <f ca="1"/>
        <v>#NAME?</v>
      </c>
      <c r="D98" s="99" t="e">
        <f ca="1"/>
        <v>#NAME?</v>
      </c>
      <c r="E98" s="99" t="e">
        <f ca="1"/>
        <v>#NAME?</v>
      </c>
      <c r="F98" s="92" t="e">
        <f ca="1"/>
        <v>#NAME?</v>
      </c>
      <c r="G98" s="106"/>
      <c r="H98" s="106"/>
      <c r="I98" s="177"/>
      <c r="L98" s="24"/>
    </row>
    <row r="99" spans="1:15" x14ac:dyDescent="0.2">
      <c r="B99" s="97" t="e">
        <f ca="1"/>
        <v>#NAME?</v>
      </c>
      <c r="C99" s="101" t="e">
        <f ca="1"/>
        <v>#NAME?</v>
      </c>
      <c r="D99" s="99" t="e">
        <f ca="1"/>
        <v>#NAME?</v>
      </c>
      <c r="E99" s="99" t="e">
        <f ca="1"/>
        <v>#NAME?</v>
      </c>
      <c r="F99" s="92" t="e">
        <f ca="1"/>
        <v>#NAME?</v>
      </c>
      <c r="G99" s="106"/>
      <c r="H99" s="106"/>
      <c r="I99" s="31"/>
      <c r="L99" s="24"/>
    </row>
    <row r="100" spans="1:15" ht="13.5" thickBot="1" x14ac:dyDescent="0.25">
      <c r="B100" s="12"/>
      <c r="C100" s="27"/>
      <c r="D100" s="27"/>
      <c r="E100" s="27"/>
      <c r="F100" s="70"/>
      <c r="L100" s="24"/>
    </row>
    <row r="101" spans="1:15" x14ac:dyDescent="0.2">
      <c r="G101" s="31"/>
      <c r="I101" s="25"/>
      <c r="L101" s="24"/>
    </row>
    <row r="102" spans="1:15" x14ac:dyDescent="0.2">
      <c r="A102" s="4"/>
      <c r="L102" s="24"/>
    </row>
    <row r="103" spans="1:15" x14ac:dyDescent="0.2">
      <c r="A103" s="10" t="s">
        <v>63</v>
      </c>
      <c r="L103" s="24"/>
    </row>
    <row r="104" spans="1:15" x14ac:dyDescent="0.2">
      <c r="A104" s="136" t="s">
        <v>64</v>
      </c>
      <c r="B104" s="139" t="s">
        <v>67</v>
      </c>
      <c r="C104" s="141">
        <v>20</v>
      </c>
      <c r="D104" s="141">
        <v>30</v>
      </c>
      <c r="E104" s="142">
        <v>15</v>
      </c>
      <c r="J104" s="106"/>
      <c r="K104" s="106"/>
      <c r="L104" s="24"/>
    </row>
    <row r="105" spans="1:15" x14ac:dyDescent="0.2">
      <c r="A105" s="137" t="s">
        <v>112</v>
      </c>
      <c r="B105" s="140">
        <v>2</v>
      </c>
      <c r="C105" s="124">
        <v>-2E-3</v>
      </c>
      <c r="D105" s="143"/>
      <c r="E105" s="124">
        <v>1E-3</v>
      </c>
      <c r="F105" t="str">
        <f>CHOOSE(B105,"Moment; kNm","Slope")</f>
        <v>Slope</v>
      </c>
      <c r="J105" s="106"/>
      <c r="L105" s="180"/>
      <c r="M105" s="179"/>
      <c r="O105" s="24"/>
    </row>
    <row r="106" spans="1:15" x14ac:dyDescent="0.2">
      <c r="A106" s="138" t="s">
        <v>65</v>
      </c>
      <c r="B106" s="60" t="s">
        <v>66</v>
      </c>
      <c r="C106" s="144">
        <v>5</v>
      </c>
      <c r="D106" s="144">
        <v>-11</v>
      </c>
      <c r="E106" s="145">
        <v>10</v>
      </c>
      <c r="F106" s="24">
        <v>1E-3</v>
      </c>
      <c r="L106" s="24"/>
      <c r="O106" s="24"/>
    </row>
    <row r="107" spans="1:15" x14ac:dyDescent="0.2">
      <c r="A107" s="81" t="s">
        <v>68</v>
      </c>
      <c r="B107" s="54">
        <v>2000000</v>
      </c>
      <c r="C107" s="54"/>
      <c r="D107" s="54"/>
      <c r="E107" s="55"/>
      <c r="L107" s="31"/>
    </row>
    <row r="108" spans="1:15" x14ac:dyDescent="0.2">
      <c r="A108" s="4"/>
      <c r="C108">
        <f>+C105/CHOOSE($B$105,$B$107,1)</f>
        <v>-2E-3</v>
      </c>
      <c r="E108">
        <f>+E105/CHOOSE($B$105,$B$107,1)</f>
        <v>1E-3</v>
      </c>
      <c r="L108" s="31"/>
    </row>
    <row r="109" spans="1:15" ht="13.5" thickBot="1" x14ac:dyDescent="0.25">
      <c r="A109" s="4"/>
      <c r="L109" s="31"/>
    </row>
    <row r="110" spans="1:15" ht="13.5" thickBot="1" x14ac:dyDescent="0.25">
      <c r="A110" s="292" t="s">
        <v>22</v>
      </c>
      <c r="B110" s="293"/>
      <c r="C110" s="294" t="s">
        <v>23</v>
      </c>
      <c r="D110" s="295"/>
      <c r="E110" s="66"/>
      <c r="F110" s="67"/>
      <c r="G110" s="296" t="s">
        <v>69</v>
      </c>
      <c r="L110" s="31"/>
    </row>
    <row r="111" spans="1:15" ht="13.5" thickBot="1" x14ac:dyDescent="0.25">
      <c r="A111" s="1" t="s">
        <v>24</v>
      </c>
      <c r="B111" s="14" t="s">
        <v>25</v>
      </c>
      <c r="C111" s="13" t="s">
        <v>24</v>
      </c>
      <c r="D111" s="2" t="s">
        <v>25</v>
      </c>
      <c r="E111" s="71" t="s">
        <v>18</v>
      </c>
      <c r="F111" s="72" t="s">
        <v>19</v>
      </c>
      <c r="G111" s="297"/>
      <c r="L111" s="31"/>
    </row>
    <row r="112" spans="1:15" x14ac:dyDescent="0.2">
      <c r="A112" s="121">
        <v>0</v>
      </c>
      <c r="B112" s="122">
        <v>0</v>
      </c>
      <c r="C112" s="28">
        <v>0</v>
      </c>
      <c r="D112" s="90" t="e">
        <f t="array" aca="1" ref="D112:F136" ca="1">csplinea(A112:A118,B112:B118,C112:C136,1,B105,C108,E108)</f>
        <v>#NAME?</v>
      </c>
      <c r="E112" s="172" t="e">
        <f ca="1"/>
        <v>#NAME?</v>
      </c>
      <c r="F112" s="175" t="e">
        <f ca="1"/>
        <v>#NAME?</v>
      </c>
      <c r="G112" s="91" t="e">
        <f ca="1">+F112*$B$107</f>
        <v>#NAME?</v>
      </c>
      <c r="L112" s="31"/>
    </row>
    <row r="113" spans="1:12" x14ac:dyDescent="0.2">
      <c r="A113" s="120">
        <f>+C104/2</f>
        <v>10</v>
      </c>
      <c r="B113" s="123">
        <f>+C106*$F$106</f>
        <v>5.0000000000000001E-3</v>
      </c>
      <c r="C113" s="29">
        <f>+C112+$C$104/8</f>
        <v>2.5</v>
      </c>
      <c r="D113" s="92" t="e">
        <f ca="1"/>
        <v>#NAME?</v>
      </c>
      <c r="E113" s="93" t="e">
        <f ca="1"/>
        <v>#NAME?</v>
      </c>
      <c r="F113" s="94" t="e">
        <f ca="1"/>
        <v>#NAME?</v>
      </c>
      <c r="G113" s="95" t="e">
        <f t="shared" ref="G113:G136" ca="1" si="5">+F113*$B$107</f>
        <v>#NAME?</v>
      </c>
    </row>
    <row r="114" spans="1:12" x14ac:dyDescent="0.2">
      <c r="A114" s="120">
        <f>+A113+A113</f>
        <v>20</v>
      </c>
      <c r="B114" s="124">
        <v>0</v>
      </c>
      <c r="C114" s="29">
        <f t="shared" ref="C114:C120" si="6">+C113+$C$104/8</f>
        <v>5</v>
      </c>
      <c r="D114" s="92" t="e">
        <f ca="1"/>
        <v>#NAME?</v>
      </c>
      <c r="E114" s="93" t="e">
        <f ca="1"/>
        <v>#NAME?</v>
      </c>
      <c r="F114" s="94" t="e">
        <f ca="1"/>
        <v>#NAME?</v>
      </c>
      <c r="G114" s="95" t="e">
        <f t="shared" ca="1" si="5"/>
        <v>#NAME?</v>
      </c>
    </row>
    <row r="115" spans="1:12" x14ac:dyDescent="0.2">
      <c r="A115" s="120">
        <f>+A114+$D$104/2</f>
        <v>35</v>
      </c>
      <c r="B115" s="124">
        <f>+D106*$F$106</f>
        <v>-1.0999999999999999E-2</v>
      </c>
      <c r="C115" s="29">
        <f t="shared" si="6"/>
        <v>7.5</v>
      </c>
      <c r="D115" s="92" t="e">
        <f ca="1"/>
        <v>#NAME?</v>
      </c>
      <c r="E115" s="93" t="e">
        <f ca="1"/>
        <v>#NAME?</v>
      </c>
      <c r="F115" s="94" t="e">
        <f ca="1"/>
        <v>#NAME?</v>
      </c>
      <c r="G115" s="95" t="e">
        <f t="shared" ca="1" si="5"/>
        <v>#NAME?</v>
      </c>
    </row>
    <row r="116" spans="1:12" x14ac:dyDescent="0.2">
      <c r="A116" s="120">
        <f>+A115+$D$104/2</f>
        <v>50</v>
      </c>
      <c r="B116" s="124">
        <v>0</v>
      </c>
      <c r="C116" s="29">
        <f t="shared" si="6"/>
        <v>10</v>
      </c>
      <c r="D116" s="92" t="e">
        <f ca="1"/>
        <v>#NAME?</v>
      </c>
      <c r="E116" s="93" t="e">
        <f ca="1"/>
        <v>#NAME?</v>
      </c>
      <c r="F116" s="94" t="e">
        <f ca="1"/>
        <v>#NAME?</v>
      </c>
      <c r="G116" s="95" t="e">
        <f t="shared" ca="1" si="5"/>
        <v>#NAME?</v>
      </c>
    </row>
    <row r="117" spans="1:12" x14ac:dyDescent="0.2">
      <c r="A117" s="120">
        <f>+A116+$E$104/2</f>
        <v>57.5</v>
      </c>
      <c r="B117" s="124">
        <f>+E106*$F$106</f>
        <v>0.01</v>
      </c>
      <c r="C117" s="29">
        <f t="shared" si="6"/>
        <v>12.5</v>
      </c>
      <c r="D117" s="92" t="e">
        <f ca="1"/>
        <v>#NAME?</v>
      </c>
      <c r="E117" s="93" t="e">
        <f ca="1"/>
        <v>#NAME?</v>
      </c>
      <c r="F117" s="94" t="e">
        <f ca="1"/>
        <v>#NAME?</v>
      </c>
      <c r="G117" s="95" t="e">
        <f t="shared" ca="1" si="5"/>
        <v>#NAME?</v>
      </c>
      <c r="I117" s="24"/>
      <c r="J117" s="24"/>
      <c r="L117" s="24"/>
    </row>
    <row r="118" spans="1:12" x14ac:dyDescent="0.2">
      <c r="A118" s="120">
        <f>+A117+$E$104/2</f>
        <v>65</v>
      </c>
      <c r="B118" s="124">
        <v>0</v>
      </c>
      <c r="C118" s="29">
        <f t="shared" si="6"/>
        <v>15</v>
      </c>
      <c r="D118" s="92" t="e">
        <f ca="1"/>
        <v>#NAME?</v>
      </c>
      <c r="E118" s="93" t="e">
        <f ca="1"/>
        <v>#NAME?</v>
      </c>
      <c r="F118" s="94" t="e">
        <f ca="1"/>
        <v>#NAME?</v>
      </c>
      <c r="G118" s="95" t="e">
        <f t="shared" ca="1" si="5"/>
        <v>#NAME?</v>
      </c>
      <c r="I118" s="24"/>
      <c r="J118" s="24"/>
      <c r="L118" s="24"/>
    </row>
    <row r="119" spans="1:12" x14ac:dyDescent="0.2">
      <c r="A119" s="120"/>
      <c r="B119" s="125"/>
      <c r="C119" s="29">
        <f t="shared" si="6"/>
        <v>17.5</v>
      </c>
      <c r="D119" s="92" t="e">
        <f ca="1"/>
        <v>#NAME?</v>
      </c>
      <c r="E119" s="93" t="e">
        <f ca="1"/>
        <v>#NAME?</v>
      </c>
      <c r="F119" s="94" t="e">
        <f ca="1"/>
        <v>#NAME?</v>
      </c>
      <c r="G119" s="95" t="e">
        <f t="shared" ca="1" si="5"/>
        <v>#NAME?</v>
      </c>
      <c r="I119" s="24"/>
      <c r="J119" s="24"/>
      <c r="L119" s="24"/>
    </row>
    <row r="120" spans="1:12" x14ac:dyDescent="0.2">
      <c r="A120" s="120"/>
      <c r="B120" s="125"/>
      <c r="C120" s="29">
        <f t="shared" si="6"/>
        <v>20</v>
      </c>
      <c r="D120" s="92" t="e">
        <f ca="1"/>
        <v>#NAME?</v>
      </c>
      <c r="E120" s="93" t="e">
        <f ca="1"/>
        <v>#NAME?</v>
      </c>
      <c r="F120" s="94" t="e">
        <f ca="1"/>
        <v>#NAME?</v>
      </c>
      <c r="G120" s="95" t="e">
        <f t="shared" ca="1" si="5"/>
        <v>#NAME?</v>
      </c>
      <c r="I120" s="24"/>
      <c r="J120" s="24"/>
      <c r="L120" s="24"/>
    </row>
    <row r="121" spans="1:12" x14ac:dyDescent="0.2">
      <c r="A121" s="120"/>
      <c r="B121" s="125"/>
      <c r="C121" s="29">
        <f>+C120+$D$104/8</f>
        <v>23.75</v>
      </c>
      <c r="D121" s="92" t="e">
        <f ca="1"/>
        <v>#NAME?</v>
      </c>
      <c r="E121" s="93" t="e">
        <f ca="1"/>
        <v>#NAME?</v>
      </c>
      <c r="F121" s="94" t="e">
        <f ca="1"/>
        <v>#NAME?</v>
      </c>
      <c r="G121" s="95" t="e">
        <f t="shared" ca="1" si="5"/>
        <v>#NAME?</v>
      </c>
      <c r="I121" s="24"/>
      <c r="J121" s="24"/>
      <c r="L121" s="24"/>
    </row>
    <row r="122" spans="1:12" x14ac:dyDescent="0.2">
      <c r="A122" s="120"/>
      <c r="B122" s="125"/>
      <c r="C122" s="29">
        <f t="shared" ref="C122:C128" si="7">+C121+$D$104/8</f>
        <v>27.5</v>
      </c>
      <c r="D122" s="92" t="e">
        <f ca="1"/>
        <v>#NAME?</v>
      </c>
      <c r="E122" s="93" t="e">
        <f ca="1"/>
        <v>#NAME?</v>
      </c>
      <c r="F122" s="94" t="e">
        <f ca="1"/>
        <v>#NAME?</v>
      </c>
      <c r="G122" s="95" t="e">
        <f t="shared" ca="1" si="5"/>
        <v>#NAME?</v>
      </c>
      <c r="I122" s="24"/>
      <c r="J122" s="24"/>
      <c r="L122" s="24"/>
    </row>
    <row r="123" spans="1:12" x14ac:dyDescent="0.2">
      <c r="A123" s="11"/>
      <c r="B123" s="26"/>
      <c r="C123" s="29">
        <f t="shared" si="7"/>
        <v>31.25</v>
      </c>
      <c r="D123" s="92" t="e">
        <f ca="1"/>
        <v>#NAME?</v>
      </c>
      <c r="E123" s="93" t="e">
        <f ca="1"/>
        <v>#NAME?</v>
      </c>
      <c r="F123" s="94" t="e">
        <f ca="1"/>
        <v>#NAME?</v>
      </c>
      <c r="G123" s="95" t="e">
        <f t="shared" ca="1" si="5"/>
        <v>#NAME?</v>
      </c>
      <c r="I123" s="24"/>
      <c r="J123" s="24"/>
      <c r="L123" s="24"/>
    </row>
    <row r="124" spans="1:12" x14ac:dyDescent="0.2">
      <c r="A124" s="11"/>
      <c r="B124" s="26"/>
      <c r="C124" s="29">
        <f t="shared" si="7"/>
        <v>35</v>
      </c>
      <c r="D124" s="92" t="e">
        <f ca="1"/>
        <v>#NAME?</v>
      </c>
      <c r="E124" s="93" t="e">
        <f ca="1"/>
        <v>#NAME?</v>
      </c>
      <c r="F124" s="94" t="e">
        <f ca="1"/>
        <v>#NAME?</v>
      </c>
      <c r="G124" s="95" t="e">
        <f t="shared" ca="1" si="5"/>
        <v>#NAME?</v>
      </c>
      <c r="I124" s="24"/>
      <c r="J124" s="24"/>
      <c r="L124" s="24"/>
    </row>
    <row r="125" spans="1:12" x14ac:dyDescent="0.2">
      <c r="A125" s="11"/>
      <c r="B125" s="26"/>
      <c r="C125" s="29">
        <f t="shared" si="7"/>
        <v>38.75</v>
      </c>
      <c r="D125" s="92" t="e">
        <f ca="1"/>
        <v>#NAME?</v>
      </c>
      <c r="E125" s="93" t="e">
        <f ca="1"/>
        <v>#NAME?</v>
      </c>
      <c r="F125" s="94" t="e">
        <f ca="1"/>
        <v>#NAME?</v>
      </c>
      <c r="G125" s="95" t="e">
        <f t="shared" ca="1" si="5"/>
        <v>#NAME?</v>
      </c>
      <c r="I125" s="24"/>
      <c r="J125" s="24"/>
      <c r="L125" s="24"/>
    </row>
    <row r="126" spans="1:12" x14ac:dyDescent="0.2">
      <c r="A126" s="11"/>
      <c r="B126" s="26"/>
      <c r="C126" s="29">
        <f t="shared" si="7"/>
        <v>42.5</v>
      </c>
      <c r="D126" s="92" t="e">
        <f ca="1"/>
        <v>#NAME?</v>
      </c>
      <c r="E126" s="93" t="e">
        <f ca="1"/>
        <v>#NAME?</v>
      </c>
      <c r="F126" s="94" t="e">
        <f ca="1"/>
        <v>#NAME?</v>
      </c>
      <c r="G126" s="95" t="e">
        <f t="shared" ca="1" si="5"/>
        <v>#NAME?</v>
      </c>
      <c r="I126" s="24"/>
      <c r="J126" s="24"/>
      <c r="L126" s="24"/>
    </row>
    <row r="127" spans="1:12" x14ac:dyDescent="0.2">
      <c r="A127" s="11"/>
      <c r="B127" s="26"/>
      <c r="C127" s="29">
        <f t="shared" si="7"/>
        <v>46.25</v>
      </c>
      <c r="D127" s="92" t="e">
        <f ca="1"/>
        <v>#NAME?</v>
      </c>
      <c r="E127" s="93" t="e">
        <f ca="1"/>
        <v>#NAME?</v>
      </c>
      <c r="F127" s="94" t="e">
        <f ca="1"/>
        <v>#NAME?</v>
      </c>
      <c r="G127" s="95" t="e">
        <f t="shared" ca="1" si="5"/>
        <v>#NAME?</v>
      </c>
      <c r="I127" s="24"/>
      <c r="J127" s="24"/>
      <c r="L127" s="24"/>
    </row>
    <row r="128" spans="1:12" x14ac:dyDescent="0.2">
      <c r="A128" s="11"/>
      <c r="B128" s="26"/>
      <c r="C128" s="29">
        <f t="shared" si="7"/>
        <v>50</v>
      </c>
      <c r="D128" s="92" t="e">
        <f ca="1"/>
        <v>#NAME?</v>
      </c>
      <c r="E128" s="93" t="e">
        <f ca="1"/>
        <v>#NAME?</v>
      </c>
      <c r="F128" s="94" t="e">
        <f ca="1"/>
        <v>#NAME?</v>
      </c>
      <c r="G128" s="95" t="e">
        <f t="shared" ca="1" si="5"/>
        <v>#NAME?</v>
      </c>
      <c r="I128" s="24"/>
      <c r="J128" s="24"/>
      <c r="L128" s="24"/>
    </row>
    <row r="129" spans="1:16" x14ac:dyDescent="0.2">
      <c r="A129" s="11"/>
      <c r="B129" s="26"/>
      <c r="C129" s="29">
        <f>+C128+$E$104/8</f>
        <v>51.875</v>
      </c>
      <c r="D129" s="92" t="e">
        <f ca="1"/>
        <v>#NAME?</v>
      </c>
      <c r="E129" s="93" t="e">
        <f ca="1"/>
        <v>#NAME?</v>
      </c>
      <c r="F129" s="94" t="e">
        <f ca="1"/>
        <v>#NAME?</v>
      </c>
      <c r="G129" s="95" t="e">
        <f t="shared" ca="1" si="5"/>
        <v>#NAME?</v>
      </c>
      <c r="I129" s="24"/>
      <c r="J129" s="24"/>
      <c r="L129" s="24"/>
    </row>
    <row r="130" spans="1:16" x14ac:dyDescent="0.2">
      <c r="A130" s="11"/>
      <c r="B130" s="26"/>
      <c r="C130" s="29">
        <f t="shared" ref="C130:C136" si="8">+C129+$E$104/8</f>
        <v>53.75</v>
      </c>
      <c r="D130" s="92" t="e">
        <f ca="1"/>
        <v>#NAME?</v>
      </c>
      <c r="E130" s="93" t="e">
        <f ca="1"/>
        <v>#NAME?</v>
      </c>
      <c r="F130" s="94" t="e">
        <f ca="1"/>
        <v>#NAME?</v>
      </c>
      <c r="G130" s="95" t="e">
        <f t="shared" ca="1" si="5"/>
        <v>#NAME?</v>
      </c>
      <c r="I130" s="24"/>
      <c r="J130" s="24"/>
      <c r="L130" s="24"/>
    </row>
    <row r="131" spans="1:16" x14ac:dyDescent="0.2">
      <c r="A131" s="11"/>
      <c r="B131" s="26"/>
      <c r="C131" s="29">
        <f t="shared" si="8"/>
        <v>55.625</v>
      </c>
      <c r="D131" s="92" t="e">
        <f ca="1"/>
        <v>#NAME?</v>
      </c>
      <c r="E131" s="93" t="e">
        <f ca="1"/>
        <v>#NAME?</v>
      </c>
      <c r="F131" s="94" t="e">
        <f ca="1"/>
        <v>#NAME?</v>
      </c>
      <c r="G131" s="95" t="e">
        <f t="shared" ca="1" si="5"/>
        <v>#NAME?</v>
      </c>
      <c r="I131" s="24"/>
      <c r="J131" s="24"/>
      <c r="L131" s="24"/>
    </row>
    <row r="132" spans="1:16" x14ac:dyDescent="0.2">
      <c r="A132" s="11"/>
      <c r="B132" s="26"/>
      <c r="C132" s="29">
        <f t="shared" si="8"/>
        <v>57.5</v>
      </c>
      <c r="D132" s="92" t="e">
        <f ca="1"/>
        <v>#NAME?</v>
      </c>
      <c r="E132" s="93" t="e">
        <f ca="1"/>
        <v>#NAME?</v>
      </c>
      <c r="F132" s="94" t="e">
        <f ca="1"/>
        <v>#NAME?</v>
      </c>
      <c r="G132" s="95" t="e">
        <f t="shared" ca="1" si="5"/>
        <v>#NAME?</v>
      </c>
      <c r="I132" s="24"/>
      <c r="J132" s="24"/>
      <c r="L132" s="24"/>
    </row>
    <row r="133" spans="1:16" x14ac:dyDescent="0.2">
      <c r="A133" s="11"/>
      <c r="B133" s="26"/>
      <c r="C133" s="29">
        <f t="shared" si="8"/>
        <v>59.375</v>
      </c>
      <c r="D133" s="92" t="e">
        <f ca="1"/>
        <v>#NAME?</v>
      </c>
      <c r="E133" s="93" t="e">
        <f ca="1"/>
        <v>#NAME?</v>
      </c>
      <c r="F133" s="94" t="e">
        <f ca="1"/>
        <v>#NAME?</v>
      </c>
      <c r="G133" s="95" t="e">
        <f t="shared" ca="1" si="5"/>
        <v>#NAME?</v>
      </c>
      <c r="I133" s="24"/>
      <c r="J133" s="24"/>
      <c r="L133" s="24"/>
    </row>
    <row r="134" spans="1:16" x14ac:dyDescent="0.2">
      <c r="A134" s="11"/>
      <c r="B134" s="26"/>
      <c r="C134" s="29">
        <f t="shared" si="8"/>
        <v>61.25</v>
      </c>
      <c r="D134" s="92" t="e">
        <f ca="1"/>
        <v>#NAME?</v>
      </c>
      <c r="E134" s="93" t="e">
        <f ca="1"/>
        <v>#NAME?</v>
      </c>
      <c r="F134" s="94" t="e">
        <f ca="1"/>
        <v>#NAME?</v>
      </c>
      <c r="G134" s="95" t="e">
        <f t="shared" ca="1" si="5"/>
        <v>#NAME?</v>
      </c>
      <c r="I134" s="24"/>
      <c r="J134" s="24"/>
      <c r="L134" s="24"/>
    </row>
    <row r="135" spans="1:16" x14ac:dyDescent="0.2">
      <c r="A135" s="11"/>
      <c r="B135" s="26"/>
      <c r="C135" s="29">
        <f t="shared" si="8"/>
        <v>63.125</v>
      </c>
      <c r="D135" s="92" t="e">
        <f ca="1"/>
        <v>#NAME?</v>
      </c>
      <c r="E135" s="93" t="e">
        <f ca="1"/>
        <v>#NAME?</v>
      </c>
      <c r="F135" s="94" t="e">
        <f ca="1"/>
        <v>#NAME?</v>
      </c>
      <c r="G135" s="95" t="e">
        <f t="shared" ca="1" si="5"/>
        <v>#NAME?</v>
      </c>
      <c r="I135" s="24"/>
      <c r="J135" s="24"/>
      <c r="L135" s="24"/>
    </row>
    <row r="136" spans="1:16" x14ac:dyDescent="0.2">
      <c r="A136" s="11"/>
      <c r="B136" s="26"/>
      <c r="C136" s="29">
        <f t="shared" si="8"/>
        <v>65</v>
      </c>
      <c r="D136" s="92" t="e">
        <f ca="1"/>
        <v>#NAME?</v>
      </c>
      <c r="E136" s="173" t="e">
        <f ca="1"/>
        <v>#NAME?</v>
      </c>
      <c r="F136" s="174" t="e">
        <f ca="1"/>
        <v>#NAME?</v>
      </c>
      <c r="G136" s="95" t="e">
        <f t="shared" ca="1" si="5"/>
        <v>#NAME?</v>
      </c>
      <c r="H136" s="7"/>
      <c r="I136" s="7"/>
      <c r="J136" s="7"/>
      <c r="L136" s="24"/>
    </row>
    <row r="137" spans="1:16" ht="13.5" thickBot="1" x14ac:dyDescent="0.25">
      <c r="A137" s="12"/>
      <c r="B137" s="27"/>
      <c r="C137" s="30"/>
      <c r="D137" s="76"/>
      <c r="E137" s="78"/>
      <c r="F137" s="79"/>
      <c r="G137" s="80"/>
    </row>
    <row r="139" spans="1:16" x14ac:dyDescent="0.2">
      <c r="A139" s="10" t="s">
        <v>70</v>
      </c>
      <c r="I139" s="24"/>
      <c r="J139" s="24"/>
      <c r="L139" s="24"/>
    </row>
    <row r="140" spans="1:16" ht="13.5" thickBot="1" x14ac:dyDescent="0.25">
      <c r="E140" s="77"/>
    </row>
    <row r="141" spans="1:16" ht="13.5" thickBot="1" x14ac:dyDescent="0.25">
      <c r="B141" s="21" t="s">
        <v>111</v>
      </c>
      <c r="C141" s="75" t="s">
        <v>98</v>
      </c>
      <c r="D141" s="75" t="s">
        <v>0</v>
      </c>
      <c r="E141" s="75" t="s">
        <v>3</v>
      </c>
      <c r="F141" s="22" t="s">
        <v>2</v>
      </c>
    </row>
    <row r="142" spans="1:16" x14ac:dyDescent="0.2">
      <c r="B142" s="168" t="e">
        <f t="array" aca="1" ref="B142:F147" ca="1">csplinea(A112:A118,B112:B118,C112:C136,2)</f>
        <v>#NAME?</v>
      </c>
      <c r="C142" s="100" t="e">
        <f ca="1"/>
        <v>#NAME?</v>
      </c>
      <c r="D142" s="170" t="e">
        <f ca="1"/>
        <v>#NAME?</v>
      </c>
      <c r="E142" s="170" t="e">
        <f ca="1"/>
        <v>#NAME?</v>
      </c>
      <c r="F142" s="90" t="e">
        <f ca="1"/>
        <v>#NAME?</v>
      </c>
    </row>
    <row r="143" spans="1:16" x14ac:dyDescent="0.2">
      <c r="B143" s="169" t="e">
        <f ca="1"/>
        <v>#NAME?</v>
      </c>
      <c r="C143" s="101" t="e">
        <f ca="1"/>
        <v>#NAME?</v>
      </c>
      <c r="D143" s="171" t="e">
        <f ca="1"/>
        <v>#NAME?</v>
      </c>
      <c r="E143" s="171" t="e">
        <f ca="1"/>
        <v>#NAME?</v>
      </c>
      <c r="F143" s="92" t="e">
        <f ca="1"/>
        <v>#NAME?</v>
      </c>
      <c r="P143" s="7"/>
    </row>
    <row r="144" spans="1:16" x14ac:dyDescent="0.2">
      <c r="B144" s="169" t="e">
        <f ca="1"/>
        <v>#NAME?</v>
      </c>
      <c r="C144" s="101" t="e">
        <f ca="1"/>
        <v>#NAME?</v>
      </c>
      <c r="D144" s="171" t="e">
        <f ca="1"/>
        <v>#NAME?</v>
      </c>
      <c r="E144" s="171" t="e">
        <f ca="1"/>
        <v>#NAME?</v>
      </c>
      <c r="F144" s="92" t="e">
        <f ca="1"/>
        <v>#NAME?</v>
      </c>
    </row>
    <row r="145" spans="2:19" x14ac:dyDescent="0.2">
      <c r="B145" s="169" t="e">
        <f ca="1"/>
        <v>#NAME?</v>
      </c>
      <c r="C145" s="101" t="e">
        <f ca="1"/>
        <v>#NAME?</v>
      </c>
      <c r="D145" s="171" t="e">
        <f ca="1"/>
        <v>#NAME?</v>
      </c>
      <c r="E145" s="171" t="e">
        <f ca="1"/>
        <v>#NAME?</v>
      </c>
      <c r="F145" s="92" t="e">
        <f ca="1"/>
        <v>#NAME?</v>
      </c>
    </row>
    <row r="146" spans="2:19" x14ac:dyDescent="0.2">
      <c r="B146" s="169" t="e">
        <f ca="1"/>
        <v>#NAME?</v>
      </c>
      <c r="C146" s="101" t="e">
        <f ca="1"/>
        <v>#NAME?</v>
      </c>
      <c r="D146" s="171" t="e">
        <f ca="1"/>
        <v>#NAME?</v>
      </c>
      <c r="E146" s="171" t="e">
        <f ca="1"/>
        <v>#NAME?</v>
      </c>
      <c r="F146" s="92" t="e">
        <f ca="1"/>
        <v>#NAME?</v>
      </c>
    </row>
    <row r="147" spans="2:19" x14ac:dyDescent="0.2">
      <c r="B147" s="169" t="e">
        <f ca="1"/>
        <v>#NAME?</v>
      </c>
      <c r="C147" s="101" t="e">
        <f ca="1"/>
        <v>#NAME?</v>
      </c>
      <c r="D147" s="171" t="e">
        <f ca="1"/>
        <v>#NAME?</v>
      </c>
      <c r="E147" s="171" t="e">
        <f ca="1"/>
        <v>#NAME?</v>
      </c>
      <c r="F147" s="92" t="e">
        <f ca="1"/>
        <v>#NAME?</v>
      </c>
      <c r="P147" s="24"/>
      <c r="R147" s="24"/>
      <c r="S147" s="24"/>
    </row>
    <row r="148" spans="2:19" x14ac:dyDescent="0.2">
      <c r="B148" s="97"/>
      <c r="C148" s="101"/>
      <c r="D148" s="99"/>
      <c r="E148" s="99"/>
      <c r="F148" s="92"/>
      <c r="P148" s="24"/>
      <c r="R148" s="24"/>
    </row>
    <row r="149" spans="2:19" ht="13.5" thickBot="1" x14ac:dyDescent="0.25">
      <c r="B149" s="12"/>
      <c r="C149" s="27"/>
      <c r="D149" s="27"/>
      <c r="E149" s="27"/>
      <c r="F149" s="70"/>
      <c r="P149" s="24"/>
    </row>
    <row r="150" spans="2:19" x14ac:dyDescent="0.2">
      <c r="P150" s="24"/>
    </row>
    <row r="164" spans="1:1" x14ac:dyDescent="0.2">
      <c r="A164" s="3"/>
    </row>
    <row r="181" spans="1:1" x14ac:dyDescent="0.2">
      <c r="A181">
        <f>+A180+$A$163</f>
        <v>0</v>
      </c>
    </row>
  </sheetData>
  <mergeCells count="7">
    <mergeCell ref="Q34:R34"/>
    <mergeCell ref="A110:B110"/>
    <mergeCell ref="C110:D110"/>
    <mergeCell ref="G110:G111"/>
    <mergeCell ref="A34:B34"/>
    <mergeCell ref="A61:B61"/>
    <mergeCell ref="C61:D61"/>
  </mergeCells>
  <phoneticPr fontId="2" type="noConversion"/>
  <printOptions gridLines="1" gridLinesSet="0"/>
  <pageMargins left="0.75" right="0.75" top="1" bottom="1" header="0.5" footer="0.5"/>
  <pageSetup orientation="portrait" horizontalDpi="300" verticalDpi="200" r:id="rId1"/>
  <headerFooter alignWithMargins="0">
    <oddHeader>&amp;A</oddHeader>
    <oddFooter>Page &amp;P</oddFooter>
  </headerFooter>
  <customProperties>
    <customPr name="FormulaDeskUniqueName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92"/>
  <sheetViews>
    <sheetView topLeftCell="A59" workbookViewId="0">
      <selection activeCell="F74" sqref="F73:F74"/>
    </sheetView>
  </sheetViews>
  <sheetFormatPr defaultRowHeight="12.75" x14ac:dyDescent="0.2"/>
  <cols>
    <col min="1" max="1" width="19.42578125" customWidth="1"/>
    <col min="2" max="2" width="12.5703125" bestFit="1" customWidth="1"/>
    <col min="3" max="3" width="9.85546875" bestFit="1" customWidth="1"/>
    <col min="4" max="4" width="10.140625" bestFit="1" customWidth="1"/>
    <col min="12" max="12" width="9.28515625" bestFit="1" customWidth="1"/>
    <col min="16" max="16" width="12.28515625" bestFit="1" customWidth="1"/>
  </cols>
  <sheetData>
    <row r="1" spans="1:15" ht="15" x14ac:dyDescent="0.25">
      <c r="A1" s="9" t="s">
        <v>185</v>
      </c>
    </row>
    <row r="3" spans="1:15" x14ac:dyDescent="0.2">
      <c r="A3" s="3" t="s">
        <v>186</v>
      </c>
    </row>
    <row r="4" spans="1:15" x14ac:dyDescent="0.2">
      <c r="A4" s="10" t="s">
        <v>311</v>
      </c>
    </row>
    <row r="5" spans="1:15" ht="15" x14ac:dyDescent="0.25">
      <c r="A5" s="46" t="s">
        <v>294</v>
      </c>
    </row>
    <row r="6" spans="1:15" x14ac:dyDescent="0.2">
      <c r="A6" s="3" t="s">
        <v>6</v>
      </c>
      <c r="B6" s="4" t="s">
        <v>187</v>
      </c>
    </row>
    <row r="7" spans="1:15" x14ac:dyDescent="0.2">
      <c r="A7" s="4" t="s">
        <v>131</v>
      </c>
      <c r="B7" s="3" t="s">
        <v>174</v>
      </c>
    </row>
    <row r="8" spans="1:15" x14ac:dyDescent="0.2">
      <c r="A8" s="6" t="s">
        <v>188</v>
      </c>
      <c r="B8" s="6" t="s">
        <v>189</v>
      </c>
    </row>
    <row r="9" spans="1:15" x14ac:dyDescent="0.2">
      <c r="A9" s="3" t="s">
        <v>190</v>
      </c>
      <c r="B9" s="6" t="s">
        <v>198</v>
      </c>
    </row>
    <row r="10" spans="1:15" x14ac:dyDescent="0.2">
      <c r="A10" s="3" t="s">
        <v>295</v>
      </c>
      <c r="B10" s="6" t="s">
        <v>296</v>
      </c>
    </row>
    <row r="11" spans="1:15" x14ac:dyDescent="0.2">
      <c r="A11" s="3" t="s">
        <v>127</v>
      </c>
      <c r="B11" s="4" t="s">
        <v>128</v>
      </c>
    </row>
    <row r="12" spans="1:15" x14ac:dyDescent="0.2">
      <c r="A12" s="3"/>
      <c r="B12" s="4" t="s">
        <v>129</v>
      </c>
      <c r="N12" s="3"/>
    </row>
    <row r="13" spans="1:15" x14ac:dyDescent="0.2">
      <c r="A13" s="3" t="s">
        <v>130</v>
      </c>
      <c r="B13" s="4" t="s">
        <v>173</v>
      </c>
      <c r="L13" s="24"/>
      <c r="O13" s="24"/>
    </row>
    <row r="14" spans="1:15" x14ac:dyDescent="0.2">
      <c r="A14" s="3"/>
      <c r="B14" s="3"/>
      <c r="L14" s="24"/>
      <c r="O14" s="24"/>
    </row>
    <row r="15" spans="1:15" ht="15" x14ac:dyDescent="0.25">
      <c r="A15" s="9" t="s">
        <v>71</v>
      </c>
      <c r="B15" s="3"/>
      <c r="L15" s="24"/>
      <c r="O15" s="24"/>
    </row>
    <row r="16" spans="1:15" x14ac:dyDescent="0.2">
      <c r="A16" s="10" t="s">
        <v>297</v>
      </c>
      <c r="L16" s="24"/>
    </row>
    <row r="17" spans="1:12" x14ac:dyDescent="0.2">
      <c r="A17" s="10" t="s">
        <v>57</v>
      </c>
      <c r="C17" s="3" t="s">
        <v>58</v>
      </c>
    </row>
    <row r="18" spans="1:12" x14ac:dyDescent="0.2">
      <c r="A18" s="10"/>
      <c r="C18" s="3" t="s">
        <v>59</v>
      </c>
    </row>
    <row r="19" spans="1:12" x14ac:dyDescent="0.2">
      <c r="A19" s="10"/>
      <c r="C19" s="3" t="s">
        <v>60</v>
      </c>
    </row>
    <row r="20" spans="1:12" x14ac:dyDescent="0.2">
      <c r="A20" s="10"/>
      <c r="C20" s="3" t="s">
        <v>61</v>
      </c>
      <c r="K20" t="s">
        <v>106</v>
      </c>
      <c r="L20" t="s">
        <v>288</v>
      </c>
    </row>
    <row r="21" spans="1:12" x14ac:dyDescent="0.2">
      <c r="A21" s="10"/>
      <c r="C21" s="3"/>
      <c r="K21">
        <v>0</v>
      </c>
      <c r="L21">
        <v>50</v>
      </c>
    </row>
    <row r="22" spans="1:12" x14ac:dyDescent="0.2">
      <c r="A22" s="5" t="s">
        <v>191</v>
      </c>
      <c r="K22">
        <v>0.5</v>
      </c>
      <c r="L22">
        <v>63</v>
      </c>
    </row>
    <row r="23" spans="1:12" ht="13.5" thickBot="1" x14ac:dyDescent="0.25">
      <c r="A23" s="5" t="s">
        <v>199</v>
      </c>
      <c r="K23">
        <v>1</v>
      </c>
      <c r="L23">
        <v>75</v>
      </c>
    </row>
    <row r="24" spans="1:12" ht="13.5" thickBot="1" x14ac:dyDescent="0.25">
      <c r="A24" s="292" t="s">
        <v>22</v>
      </c>
      <c r="B24" s="293"/>
      <c r="K24">
        <v>1.5</v>
      </c>
      <c r="L24">
        <v>85</v>
      </c>
    </row>
    <row r="25" spans="1:12" ht="13.5" thickBot="1" x14ac:dyDescent="0.25">
      <c r="A25" s="1" t="s">
        <v>24</v>
      </c>
      <c r="B25" s="14" t="s">
        <v>25</v>
      </c>
      <c r="K25">
        <v>2</v>
      </c>
      <c r="L25">
        <v>90</v>
      </c>
    </row>
    <row r="26" spans="1:12" x14ac:dyDescent="0.2">
      <c r="A26" s="128">
        <v>1</v>
      </c>
      <c r="B26" s="131">
        <v>0.75</v>
      </c>
      <c r="K26">
        <v>2.5</v>
      </c>
      <c r="L26">
        <v>91</v>
      </c>
    </row>
    <row r="27" spans="1:12" x14ac:dyDescent="0.2">
      <c r="A27" s="129">
        <v>2</v>
      </c>
      <c r="B27" s="132">
        <v>0</v>
      </c>
      <c r="K27">
        <v>3</v>
      </c>
      <c r="L27">
        <v>99.9</v>
      </c>
    </row>
    <row r="28" spans="1:12" x14ac:dyDescent="0.2">
      <c r="A28" s="129">
        <v>3</v>
      </c>
      <c r="B28" s="132">
        <v>-1</v>
      </c>
      <c r="K28">
        <v>3.5</v>
      </c>
      <c r="L28">
        <v>98</v>
      </c>
    </row>
    <row r="29" spans="1:12" x14ac:dyDescent="0.2">
      <c r="A29" s="129">
        <v>4</v>
      </c>
      <c r="B29" s="132">
        <v>3</v>
      </c>
      <c r="K29">
        <v>4</v>
      </c>
      <c r="L29">
        <v>102.9</v>
      </c>
    </row>
    <row r="30" spans="1:12" x14ac:dyDescent="0.2">
      <c r="A30" s="129">
        <v>5</v>
      </c>
      <c r="B30" s="132">
        <v>3</v>
      </c>
      <c r="K30">
        <v>4.5</v>
      </c>
      <c r="L30">
        <v>102</v>
      </c>
    </row>
    <row r="31" spans="1:12" x14ac:dyDescent="0.2">
      <c r="A31" s="11"/>
      <c r="B31" s="26"/>
      <c r="K31">
        <v>5</v>
      </c>
      <c r="L31">
        <v>96</v>
      </c>
    </row>
    <row r="32" spans="1:12" x14ac:dyDescent="0.2">
      <c r="A32" s="118" t="s">
        <v>115</v>
      </c>
      <c r="B32" s="26"/>
      <c r="K32">
        <v>5.5</v>
      </c>
      <c r="L32">
        <v>90</v>
      </c>
    </row>
    <row r="33" spans="1:12" x14ac:dyDescent="0.2">
      <c r="A33" s="118" t="s">
        <v>116</v>
      </c>
      <c r="B33" s="298" t="s">
        <v>192</v>
      </c>
      <c r="C33" s="298"/>
      <c r="D33" s="5">
        <v>2</v>
      </c>
      <c r="K33">
        <v>6</v>
      </c>
      <c r="L33">
        <v>87</v>
      </c>
    </row>
    <row r="34" spans="1:12" x14ac:dyDescent="0.2">
      <c r="A34" s="115" t="s">
        <v>117</v>
      </c>
      <c r="B34" s="130">
        <v>0</v>
      </c>
      <c r="D34" s="181" t="e">
        <f t="array" aca="1" ref="D34:E34" ca="1">solvesplinea($A$26:$A$30,$B$26:$B$30,$D$33)</f>
        <v>#NAME?</v>
      </c>
      <c r="E34" t="e">
        <f ca="1"/>
        <v>#NAME?</v>
      </c>
      <c r="K34">
        <v>6.5</v>
      </c>
      <c r="L34">
        <v>91</v>
      </c>
    </row>
    <row r="35" spans="1:12" x14ac:dyDescent="0.2">
      <c r="A35" s="115" t="s">
        <v>118</v>
      </c>
      <c r="B35" s="130">
        <v>0</v>
      </c>
      <c r="K35">
        <v>7</v>
      </c>
      <c r="L35">
        <v>96</v>
      </c>
    </row>
    <row r="36" spans="1:12" x14ac:dyDescent="0.2">
      <c r="A36" s="119" t="s">
        <v>119</v>
      </c>
      <c r="B36" s="26"/>
      <c r="K36">
        <v>7.5</v>
      </c>
      <c r="L36">
        <v>102</v>
      </c>
    </row>
    <row r="37" spans="1:12" x14ac:dyDescent="0.2">
      <c r="A37" s="115" t="s">
        <v>117</v>
      </c>
      <c r="B37" s="130">
        <v>-2</v>
      </c>
      <c r="D37" s="181" t="e">
        <f t="array" aca="1" ref="D37:E37" ca="1">solvesplinea($A$26:$A$30,$B$26:$B$30,$D$33,,,1,B37,B38)</f>
        <v>#NAME?</v>
      </c>
      <c r="E37" t="e">
        <f ca="1"/>
        <v>#NAME?</v>
      </c>
      <c r="K37">
        <v>8</v>
      </c>
      <c r="L37">
        <v>110</v>
      </c>
    </row>
    <row r="38" spans="1:12" x14ac:dyDescent="0.2">
      <c r="A38" s="115" t="s">
        <v>118</v>
      </c>
      <c r="B38" s="130">
        <v>2</v>
      </c>
      <c r="K38">
        <v>8.5</v>
      </c>
      <c r="L38">
        <v>115</v>
      </c>
    </row>
    <row r="39" spans="1:12" x14ac:dyDescent="0.2">
      <c r="A39" s="11"/>
      <c r="B39" s="26"/>
      <c r="K39">
        <v>9</v>
      </c>
      <c r="L39">
        <v>120</v>
      </c>
    </row>
    <row r="40" spans="1:12" x14ac:dyDescent="0.2">
      <c r="A40" s="119" t="s">
        <v>120</v>
      </c>
      <c r="B40" s="26"/>
      <c r="K40">
        <v>9.5</v>
      </c>
      <c r="L40">
        <v>125</v>
      </c>
    </row>
    <row r="41" spans="1:12" x14ac:dyDescent="0.2">
      <c r="A41" s="119" t="s">
        <v>121</v>
      </c>
      <c r="B41" s="26"/>
      <c r="K41">
        <v>10</v>
      </c>
      <c r="L41">
        <v>130</v>
      </c>
    </row>
    <row r="42" spans="1:12" x14ac:dyDescent="0.2">
      <c r="A42" s="115" t="s">
        <v>117</v>
      </c>
      <c r="B42" s="130">
        <v>0</v>
      </c>
      <c r="D42" s="181" t="e">
        <f t="array" aca="1" ref="D42:E42" ca="1">solvesplinea($A$26:$A$30,$B$26:$B$30,$D$33,,,2,B42,B43)</f>
        <v>#NAME?</v>
      </c>
      <c r="E42" t="e">
        <f ca="1"/>
        <v>#NAME?</v>
      </c>
    </row>
    <row r="43" spans="1:12" x14ac:dyDescent="0.2">
      <c r="A43" s="115" t="s">
        <v>118</v>
      </c>
      <c r="B43" s="130">
        <v>0</v>
      </c>
    </row>
    <row r="44" spans="1:12" x14ac:dyDescent="0.2">
      <c r="A44" s="119" t="s">
        <v>122</v>
      </c>
      <c r="B44" s="26"/>
    </row>
    <row r="45" spans="1:12" x14ac:dyDescent="0.2">
      <c r="A45" s="115" t="s">
        <v>117</v>
      </c>
      <c r="B45" s="130">
        <v>2</v>
      </c>
      <c r="D45" s="181" t="e">
        <f t="array" aca="1" ref="D45:E45" ca="1">solvesplinea($A$26:$A$30,$B$26:$B$30,$D$33,,,2,B45,B46)</f>
        <v>#NAME?</v>
      </c>
      <c r="E45" t="e">
        <f ca="1"/>
        <v>#NAME?</v>
      </c>
    </row>
    <row r="46" spans="1:12" x14ac:dyDescent="0.2">
      <c r="A46" s="115" t="s">
        <v>118</v>
      </c>
      <c r="B46" s="130">
        <v>-2</v>
      </c>
    </row>
    <row r="47" spans="1:12" ht="13.5" thickBot="1" x14ac:dyDescent="0.25">
      <c r="A47" s="12"/>
      <c r="B47" s="27"/>
    </row>
    <row r="50" spans="1:4" x14ac:dyDescent="0.2">
      <c r="A50" s="5" t="s">
        <v>195</v>
      </c>
    </row>
    <row r="52" spans="1:4" x14ac:dyDescent="0.2">
      <c r="A52" s="3" t="s">
        <v>193</v>
      </c>
      <c r="B52">
        <v>2</v>
      </c>
      <c r="C52">
        <v>3</v>
      </c>
    </row>
    <row r="53" spans="1:4" x14ac:dyDescent="0.2">
      <c r="A53" s="3" t="s">
        <v>194</v>
      </c>
      <c r="B53">
        <v>3</v>
      </c>
      <c r="C53">
        <v>4</v>
      </c>
    </row>
    <row r="54" spans="1:4" x14ac:dyDescent="0.2">
      <c r="A54" s="3" t="s">
        <v>25</v>
      </c>
      <c r="B54">
        <v>-0.5</v>
      </c>
    </row>
    <row r="55" spans="1:4" x14ac:dyDescent="0.2">
      <c r="A55" s="5" t="s">
        <v>24</v>
      </c>
      <c r="B55" s="181" t="e">
        <f t="array" aca="1" ref="B55:C55" ca="1">solvesplinea($A$26:$A$30,$B$26:$B$30,$B$54,B52:B53)</f>
        <v>#NAME?</v>
      </c>
      <c r="C55" t="e">
        <f ca="1"/>
        <v>#NAME?</v>
      </c>
    </row>
    <row r="56" spans="1:4" x14ac:dyDescent="0.2">
      <c r="A56" s="5" t="s">
        <v>24</v>
      </c>
      <c r="B56" s="181" t="e">
        <f t="array" aca="1" ref="B56:C56" ca="1">solvesplinea($A$26:$A$30,$B$26:$B$30,$B$54,$C$52:$C$53)</f>
        <v>#NAME?</v>
      </c>
      <c r="C56" t="e">
        <f ca="1"/>
        <v>#NAME?</v>
      </c>
    </row>
    <row r="58" spans="1:4" x14ac:dyDescent="0.2">
      <c r="A58" s="5" t="s">
        <v>196</v>
      </c>
    </row>
    <row r="60" spans="1:4" x14ac:dyDescent="0.2">
      <c r="A60" s="3"/>
      <c r="B60" s="105" t="s">
        <v>25</v>
      </c>
      <c r="C60" s="105" t="s">
        <v>24</v>
      </c>
      <c r="D60" s="105" t="s">
        <v>25</v>
      </c>
    </row>
    <row r="61" spans="1:4" x14ac:dyDescent="0.2">
      <c r="B61">
        <v>-0.5</v>
      </c>
      <c r="C61" s="181" t="e">
        <f t="array" aca="1" ref="C61:D66" ca="1">solvesplinea($A$26:$A$30,$B$26:$B$30,B61:B66,$C$52:$C$53)</f>
        <v>#NAME?</v>
      </c>
      <c r="D61" t="e">
        <f ca="1"/>
        <v>#NAME?</v>
      </c>
    </row>
    <row r="62" spans="1:4" x14ac:dyDescent="0.2">
      <c r="B62">
        <v>0</v>
      </c>
      <c r="C62" s="181" t="e">
        <f ca="1"/>
        <v>#NAME?</v>
      </c>
      <c r="D62" t="e">
        <f ca="1"/>
        <v>#NAME?</v>
      </c>
    </row>
    <row r="63" spans="1:4" x14ac:dyDescent="0.2">
      <c r="B63">
        <v>0.5</v>
      </c>
      <c r="C63" s="181" t="e">
        <f ca="1"/>
        <v>#NAME?</v>
      </c>
      <c r="D63" t="e">
        <f ca="1"/>
        <v>#NAME?</v>
      </c>
    </row>
    <row r="64" spans="1:4" x14ac:dyDescent="0.2">
      <c r="B64">
        <v>1</v>
      </c>
      <c r="C64" s="181" t="e">
        <f ca="1"/>
        <v>#NAME?</v>
      </c>
      <c r="D64" t="e">
        <f ca="1"/>
        <v>#NAME?</v>
      </c>
    </row>
    <row r="65" spans="1:7" x14ac:dyDescent="0.2">
      <c r="B65">
        <v>1.5</v>
      </c>
      <c r="C65" s="181" t="e">
        <f ca="1"/>
        <v>#NAME?</v>
      </c>
      <c r="D65" t="e">
        <f ca="1"/>
        <v>#NAME?</v>
      </c>
    </row>
    <row r="66" spans="1:7" x14ac:dyDescent="0.2">
      <c r="B66">
        <v>2</v>
      </c>
      <c r="C66" s="181" t="e">
        <f ca="1"/>
        <v>#NAME?</v>
      </c>
      <c r="D66" t="e">
        <f ca="1"/>
        <v>#NAME?</v>
      </c>
    </row>
    <row r="68" spans="1:7" x14ac:dyDescent="0.2">
      <c r="A68" s="5" t="s">
        <v>289</v>
      </c>
    </row>
    <row r="69" spans="1:7" ht="13.5" thickBot="1" x14ac:dyDescent="0.25"/>
    <row r="70" spans="1:7" ht="13.5" thickBot="1" x14ac:dyDescent="0.25">
      <c r="A70" s="292" t="s">
        <v>290</v>
      </c>
      <c r="B70" s="293"/>
    </row>
    <row r="71" spans="1:7" ht="13.5" thickBot="1" x14ac:dyDescent="0.25">
      <c r="A71" s="1" t="s">
        <v>24</v>
      </c>
      <c r="B71" s="14" t="s">
        <v>25</v>
      </c>
      <c r="D71" s="3" t="s">
        <v>291</v>
      </c>
      <c r="F71" s="299" t="s">
        <v>292</v>
      </c>
      <c r="G71" s="300"/>
    </row>
    <row r="72" spans="1:7" x14ac:dyDescent="0.2">
      <c r="A72" s="128">
        <v>0</v>
      </c>
      <c r="B72" s="131">
        <v>80</v>
      </c>
      <c r="D72">
        <v>95</v>
      </c>
      <c r="F72" s="249" t="s">
        <v>24</v>
      </c>
      <c r="G72" s="250" t="s">
        <v>25</v>
      </c>
    </row>
    <row r="73" spans="1:7" x14ac:dyDescent="0.2">
      <c r="A73" s="129">
        <v>0.5</v>
      </c>
      <c r="B73" s="132">
        <v>75</v>
      </c>
      <c r="D73">
        <v>100</v>
      </c>
      <c r="F73" s="251" t="e">
        <f t="array" aca="1" ref="F73:G85" ca="1">solvesplinea($K$21:$K$41,$L$21:$L$41,D72:D77,,13)</f>
        <v>#NAME?</v>
      </c>
      <c r="G73" s="252" t="e">
        <f ca="1"/>
        <v>#NAME?</v>
      </c>
    </row>
    <row r="74" spans="1:7" x14ac:dyDescent="0.2">
      <c r="A74" s="129">
        <v>1</v>
      </c>
      <c r="B74" s="132">
        <v>82</v>
      </c>
      <c r="D74">
        <v>105</v>
      </c>
      <c r="F74" s="253" t="e">
        <f ca="1"/>
        <v>#NAME?</v>
      </c>
      <c r="G74" s="15" t="e">
        <f ca="1"/>
        <v>#NAME?</v>
      </c>
    </row>
    <row r="75" spans="1:7" x14ac:dyDescent="0.2">
      <c r="A75" s="129">
        <v>1.5</v>
      </c>
      <c r="B75" s="132">
        <v>85</v>
      </c>
      <c r="D75">
        <v>110</v>
      </c>
      <c r="F75" s="253" t="e">
        <f ca="1"/>
        <v>#NAME?</v>
      </c>
      <c r="G75" s="15" t="e">
        <f ca="1"/>
        <v>#NAME?</v>
      </c>
    </row>
    <row r="76" spans="1:7" x14ac:dyDescent="0.2">
      <c r="A76" s="129">
        <v>2</v>
      </c>
      <c r="B76" s="132">
        <v>90</v>
      </c>
      <c r="D76">
        <v>115</v>
      </c>
      <c r="F76" s="253" t="e">
        <f ca="1"/>
        <v>#NAME?</v>
      </c>
      <c r="G76" s="15" t="e">
        <f ca="1"/>
        <v>#NAME?</v>
      </c>
    </row>
    <row r="77" spans="1:7" x14ac:dyDescent="0.2">
      <c r="A77" s="129">
        <v>2.5</v>
      </c>
      <c r="B77" s="132">
        <v>91</v>
      </c>
      <c r="D77">
        <v>119</v>
      </c>
      <c r="F77" s="253" t="e">
        <f ca="1"/>
        <v>#NAME?</v>
      </c>
      <c r="G77" s="15" t="e">
        <f ca="1"/>
        <v>#NAME?</v>
      </c>
    </row>
    <row r="78" spans="1:7" x14ac:dyDescent="0.2">
      <c r="A78" s="129">
        <v>3</v>
      </c>
      <c r="B78" s="132">
        <v>99.9</v>
      </c>
      <c r="F78" s="253" t="e">
        <f ca="1"/>
        <v>#NAME?</v>
      </c>
      <c r="G78" s="15" t="e">
        <f ca="1"/>
        <v>#NAME?</v>
      </c>
    </row>
    <row r="79" spans="1:7" x14ac:dyDescent="0.2">
      <c r="A79" s="129">
        <v>3.5</v>
      </c>
      <c r="B79" s="132">
        <v>98</v>
      </c>
      <c r="F79" s="253" t="e">
        <f ca="1"/>
        <v>#NAME?</v>
      </c>
      <c r="G79" s="15" t="e">
        <f ca="1"/>
        <v>#NAME?</v>
      </c>
    </row>
    <row r="80" spans="1:7" x14ac:dyDescent="0.2">
      <c r="A80" s="129">
        <v>4</v>
      </c>
      <c r="B80" s="132">
        <v>102.9</v>
      </c>
      <c r="F80" s="253" t="e">
        <f ca="1"/>
        <v>#NAME?</v>
      </c>
      <c r="G80" s="15" t="e">
        <f ca="1"/>
        <v>#NAME?</v>
      </c>
    </row>
    <row r="81" spans="1:7" x14ac:dyDescent="0.2">
      <c r="A81" s="129">
        <v>4.5</v>
      </c>
      <c r="B81" s="132">
        <v>102</v>
      </c>
      <c r="F81" s="253" t="e">
        <f ca="1"/>
        <v>#NAME?</v>
      </c>
      <c r="G81" s="15" t="e">
        <f ca="1"/>
        <v>#NAME?</v>
      </c>
    </row>
    <row r="82" spans="1:7" x14ac:dyDescent="0.2">
      <c r="A82" s="129">
        <v>5</v>
      </c>
      <c r="B82" s="132">
        <v>96</v>
      </c>
      <c r="F82" s="253" t="e">
        <f ca="1"/>
        <v>#NAME?</v>
      </c>
      <c r="G82" s="15" t="e">
        <f ca="1"/>
        <v>#NAME?</v>
      </c>
    </row>
    <row r="83" spans="1:7" x14ac:dyDescent="0.2">
      <c r="A83" s="129">
        <v>5.5</v>
      </c>
      <c r="B83" s="132">
        <v>90</v>
      </c>
      <c r="F83" s="253" t="e">
        <f ca="1"/>
        <v>#NAME?</v>
      </c>
      <c r="G83" s="15" t="e">
        <f ca="1"/>
        <v>#NAME?</v>
      </c>
    </row>
    <row r="84" spans="1:7" x14ac:dyDescent="0.2">
      <c r="A84" s="129">
        <v>6</v>
      </c>
      <c r="B84" s="132">
        <v>87</v>
      </c>
      <c r="F84" s="253" t="e">
        <f ca="1"/>
        <v>#NAME?</v>
      </c>
      <c r="G84" s="15" t="e">
        <f ca="1"/>
        <v>#NAME?</v>
      </c>
    </row>
    <row r="85" spans="1:7" x14ac:dyDescent="0.2">
      <c r="A85" s="129">
        <v>6.5</v>
      </c>
      <c r="B85" s="132">
        <v>91</v>
      </c>
      <c r="F85" s="253" t="e">
        <f ca="1"/>
        <v>#NAME?</v>
      </c>
      <c r="G85" s="15" t="e">
        <f ca="1"/>
        <v>#NAME?</v>
      </c>
    </row>
    <row r="86" spans="1:7" x14ac:dyDescent="0.2">
      <c r="A86" s="129">
        <v>7</v>
      </c>
      <c r="B86" s="132">
        <v>96</v>
      </c>
      <c r="F86" s="253"/>
      <c r="G86" s="15"/>
    </row>
    <row r="87" spans="1:7" x14ac:dyDescent="0.2">
      <c r="A87" s="129">
        <v>7.5</v>
      </c>
      <c r="B87" s="132">
        <v>102</v>
      </c>
      <c r="F87" s="253"/>
      <c r="G87" s="15"/>
    </row>
    <row r="88" spans="1:7" x14ac:dyDescent="0.2">
      <c r="A88" s="129">
        <v>8</v>
      </c>
      <c r="B88" s="132">
        <v>110</v>
      </c>
      <c r="F88" s="253"/>
      <c r="G88" s="15"/>
    </row>
    <row r="89" spans="1:7" x14ac:dyDescent="0.2">
      <c r="A89" s="129">
        <v>8.5</v>
      </c>
      <c r="B89" s="132">
        <v>115</v>
      </c>
      <c r="F89" s="254"/>
      <c r="G89" s="53"/>
    </row>
    <row r="90" spans="1:7" x14ac:dyDescent="0.2">
      <c r="A90" s="129">
        <v>9</v>
      </c>
      <c r="B90" s="132">
        <v>120</v>
      </c>
    </row>
    <row r="91" spans="1:7" x14ac:dyDescent="0.2">
      <c r="A91" s="129">
        <v>9.5</v>
      </c>
      <c r="B91" s="132">
        <v>125</v>
      </c>
    </row>
    <row r="92" spans="1:7" x14ac:dyDescent="0.2">
      <c r="A92" s="129">
        <v>10</v>
      </c>
      <c r="B92" s="132">
        <v>120</v>
      </c>
    </row>
  </sheetData>
  <mergeCells count="4">
    <mergeCell ref="A24:B24"/>
    <mergeCell ref="B33:C33"/>
    <mergeCell ref="A70:B70"/>
    <mergeCell ref="F71:G71"/>
  </mergeCells>
  <pageMargins left="0.7" right="0.7" top="0.75" bottom="0.75" header="0.3" footer="0.3"/>
  <customProperties>
    <customPr name="FormulaDeskUniqueName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126"/>
  <sheetViews>
    <sheetView topLeftCell="A27" workbookViewId="0">
      <selection activeCell="A40" sqref="A40:B44"/>
    </sheetView>
  </sheetViews>
  <sheetFormatPr defaultRowHeight="12.75" x14ac:dyDescent="0.2"/>
  <cols>
    <col min="1" max="1" width="19.42578125" customWidth="1"/>
    <col min="2" max="2" width="17.28515625" customWidth="1"/>
    <col min="3" max="3" width="20.5703125" customWidth="1"/>
    <col min="4" max="4" width="14.28515625" customWidth="1"/>
    <col min="5" max="5" width="16.42578125" customWidth="1"/>
    <col min="6" max="6" width="13.5703125" customWidth="1"/>
  </cols>
  <sheetData>
    <row r="1" spans="1:2" ht="15" x14ac:dyDescent="0.25">
      <c r="A1" s="9" t="s">
        <v>200</v>
      </c>
    </row>
    <row r="3" spans="1:2" x14ac:dyDescent="0.2">
      <c r="A3" s="3" t="s">
        <v>15</v>
      </c>
    </row>
    <row r="4" spans="1:2" x14ac:dyDescent="0.2">
      <c r="A4" s="10" t="s">
        <v>312</v>
      </c>
    </row>
    <row r="5" spans="1:2" ht="15" x14ac:dyDescent="0.25">
      <c r="A5" s="46" t="s">
        <v>300</v>
      </c>
    </row>
    <row r="6" spans="1:2" x14ac:dyDescent="0.2">
      <c r="A6" s="3" t="s">
        <v>6</v>
      </c>
      <c r="B6" s="4" t="s">
        <v>14</v>
      </c>
    </row>
    <row r="7" spans="1:2" x14ac:dyDescent="0.2">
      <c r="A7" s="4" t="s">
        <v>131</v>
      </c>
      <c r="B7" s="3" t="s">
        <v>301</v>
      </c>
    </row>
    <row r="8" spans="1:2" x14ac:dyDescent="0.2">
      <c r="A8" s="4" t="s">
        <v>12</v>
      </c>
      <c r="B8" s="4" t="s">
        <v>132</v>
      </c>
    </row>
    <row r="9" spans="1:2" x14ac:dyDescent="0.2">
      <c r="A9" s="261" t="s">
        <v>201</v>
      </c>
      <c r="B9" s="262" t="s">
        <v>206</v>
      </c>
    </row>
    <row r="10" spans="1:2" x14ac:dyDescent="0.2">
      <c r="A10" s="261"/>
      <c r="B10" s="263" t="s">
        <v>202</v>
      </c>
    </row>
    <row r="11" spans="1:2" x14ac:dyDescent="0.2">
      <c r="A11" s="261" t="s">
        <v>13</v>
      </c>
      <c r="B11" s="262" t="s">
        <v>203</v>
      </c>
    </row>
    <row r="12" spans="1:2" x14ac:dyDescent="0.2">
      <c r="A12" s="261"/>
      <c r="B12" s="263" t="s">
        <v>204</v>
      </c>
    </row>
    <row r="13" spans="1:2" x14ac:dyDescent="0.2">
      <c r="A13" s="261" t="s">
        <v>303</v>
      </c>
      <c r="B13" s="261" t="s">
        <v>304</v>
      </c>
    </row>
    <row r="14" spans="1:2" x14ac:dyDescent="0.2">
      <c r="A14" s="261"/>
      <c r="B14" s="261" t="s">
        <v>305</v>
      </c>
    </row>
    <row r="15" spans="1:2" x14ac:dyDescent="0.2">
      <c r="A15" s="3"/>
      <c r="B15" s="4"/>
    </row>
    <row r="16" spans="1:2" ht="15" x14ac:dyDescent="0.25">
      <c r="A16" s="9" t="s">
        <v>71</v>
      </c>
      <c r="B16" s="3"/>
    </row>
    <row r="17" spans="1:27" x14ac:dyDescent="0.2">
      <c r="A17" s="10" t="s">
        <v>308</v>
      </c>
    </row>
    <row r="18" spans="1:27" x14ac:dyDescent="0.2">
      <c r="A18" s="10" t="s">
        <v>57</v>
      </c>
      <c r="C18" s="3" t="s">
        <v>58</v>
      </c>
    </row>
    <row r="19" spans="1:27" x14ac:dyDescent="0.2">
      <c r="A19" s="10"/>
      <c r="C19" s="3" t="s">
        <v>59</v>
      </c>
    </row>
    <row r="20" spans="1:27" x14ac:dyDescent="0.2">
      <c r="A20" s="10"/>
      <c r="C20" s="3" t="s">
        <v>60</v>
      </c>
    </row>
    <row r="21" spans="1:27" x14ac:dyDescent="0.2">
      <c r="A21" s="10"/>
      <c r="C21" s="3" t="s">
        <v>61</v>
      </c>
    </row>
    <row r="22" spans="1:27" x14ac:dyDescent="0.2">
      <c r="A22" s="56"/>
      <c r="B22" s="61" t="s">
        <v>20</v>
      </c>
      <c r="C22" s="62"/>
      <c r="D22" s="194" t="s">
        <v>205</v>
      </c>
      <c r="F22" s="5" t="s">
        <v>307</v>
      </c>
    </row>
    <row r="23" spans="1:27" x14ac:dyDescent="0.2">
      <c r="A23" s="57" t="s">
        <v>7</v>
      </c>
      <c r="B23" s="47" t="s">
        <v>17</v>
      </c>
      <c r="C23" s="15"/>
      <c r="D23" s="57" t="s">
        <v>18</v>
      </c>
      <c r="F23" s="264" t="s">
        <v>24</v>
      </c>
      <c r="G23" s="288">
        <v>1</v>
      </c>
      <c r="H23" s="285">
        <v>1.2</v>
      </c>
      <c r="I23" s="285">
        <v>1.4</v>
      </c>
      <c r="J23" s="285">
        <v>1.6</v>
      </c>
      <c r="K23" s="285">
        <v>1.8</v>
      </c>
      <c r="L23" s="285">
        <v>2</v>
      </c>
      <c r="M23" s="285">
        <v>2.2000000000000002</v>
      </c>
      <c r="N23" s="285">
        <v>2.4</v>
      </c>
      <c r="O23" s="285">
        <v>2.6</v>
      </c>
      <c r="P23" s="285">
        <v>2.8</v>
      </c>
      <c r="Q23" s="285">
        <v>3</v>
      </c>
      <c r="R23" s="285">
        <v>3.2</v>
      </c>
      <c r="S23" s="285">
        <v>3.4</v>
      </c>
      <c r="T23" s="285">
        <v>3.6</v>
      </c>
      <c r="U23" s="285">
        <v>3.8</v>
      </c>
      <c r="V23" s="285">
        <v>4</v>
      </c>
      <c r="W23" s="285">
        <v>4.2</v>
      </c>
      <c r="X23" s="285">
        <v>4.4000000000000004</v>
      </c>
      <c r="Y23" s="285">
        <v>4.5999999999999996</v>
      </c>
      <c r="Z23" s="285">
        <v>4.8</v>
      </c>
      <c r="AA23" s="286">
        <v>5</v>
      </c>
    </row>
    <row r="24" spans="1:27" x14ac:dyDescent="0.2">
      <c r="A24" s="57" t="s">
        <v>8</v>
      </c>
      <c r="B24" s="48"/>
      <c r="C24" s="15"/>
      <c r="D24" s="57" t="s">
        <v>19</v>
      </c>
      <c r="F24" s="289" t="s">
        <v>25</v>
      </c>
      <c r="G24" s="287" t="e">
        <f t="array" aca="1" ref="G24:AA24" ca="1">chsplinea(A30:A34,B30:B34,G23:AA23,,1)</f>
        <v>#NAME?</v>
      </c>
      <c r="H24" s="274" t="e">
        <f ca="1"/>
        <v>#NAME?</v>
      </c>
      <c r="I24" s="274" t="e">
        <f ca="1"/>
        <v>#NAME?</v>
      </c>
      <c r="J24" s="274" t="e">
        <f ca="1"/>
        <v>#NAME?</v>
      </c>
      <c r="K24" s="274" t="e">
        <f ca="1"/>
        <v>#NAME?</v>
      </c>
      <c r="L24" s="274" t="e">
        <f ca="1"/>
        <v>#NAME?</v>
      </c>
      <c r="M24" s="274" t="e">
        <f ca="1"/>
        <v>#NAME?</v>
      </c>
      <c r="N24" s="274" t="e">
        <f ca="1"/>
        <v>#NAME?</v>
      </c>
      <c r="O24" s="274" t="e">
        <f ca="1"/>
        <v>#NAME?</v>
      </c>
      <c r="P24" s="274" t="e">
        <f ca="1"/>
        <v>#NAME?</v>
      </c>
      <c r="Q24" s="274" t="e">
        <f ca="1"/>
        <v>#NAME?</v>
      </c>
      <c r="R24" s="274" t="e">
        <f ca="1"/>
        <v>#NAME?</v>
      </c>
      <c r="S24" s="274" t="e">
        <f ca="1"/>
        <v>#NAME?</v>
      </c>
      <c r="T24" s="274" t="e">
        <f ca="1"/>
        <v>#NAME?</v>
      </c>
      <c r="U24" s="274" t="e">
        <f ca="1"/>
        <v>#NAME?</v>
      </c>
      <c r="V24" s="274" t="e">
        <f ca="1"/>
        <v>#NAME?</v>
      </c>
      <c r="W24" s="274" t="e">
        <f ca="1"/>
        <v>#NAME?</v>
      </c>
      <c r="X24" s="274" t="e">
        <f ca="1"/>
        <v>#NAME?</v>
      </c>
      <c r="Y24" s="274" t="e">
        <f ca="1"/>
        <v>#NAME?</v>
      </c>
      <c r="Z24" s="274" t="e">
        <f ca="1"/>
        <v>#NAME?</v>
      </c>
      <c r="AA24" s="275" t="e">
        <f ca="1"/>
        <v>#NAME?</v>
      </c>
    </row>
    <row r="25" spans="1:27" x14ac:dyDescent="0.2">
      <c r="A25" s="60"/>
      <c r="B25" s="50"/>
      <c r="C25" s="53"/>
      <c r="D25" s="195"/>
    </row>
    <row r="26" spans="1:27" x14ac:dyDescent="0.2">
      <c r="A26" s="3"/>
      <c r="B26" s="4"/>
    </row>
    <row r="27" spans="1:27" ht="13.5" thickBot="1" x14ac:dyDescent="0.25">
      <c r="A27" s="3" t="s">
        <v>27</v>
      </c>
      <c r="C27" s="3"/>
    </row>
    <row r="28" spans="1:27" ht="26.25" thickBot="1" x14ac:dyDescent="0.25">
      <c r="A28" s="292" t="s">
        <v>22</v>
      </c>
      <c r="B28" s="293"/>
      <c r="C28" s="116"/>
      <c r="D28" s="109" t="s">
        <v>207</v>
      </c>
      <c r="E28" s="182" t="s">
        <v>208</v>
      </c>
      <c r="F28" s="183" t="s">
        <v>209</v>
      </c>
    </row>
    <row r="29" spans="1:27" ht="13.5" thickBot="1" x14ac:dyDescent="0.25">
      <c r="A29" s="1" t="s">
        <v>24</v>
      </c>
      <c r="B29" s="14" t="s">
        <v>25</v>
      </c>
      <c r="C29" s="13" t="s">
        <v>24</v>
      </c>
      <c r="D29" s="2" t="s">
        <v>25</v>
      </c>
      <c r="E29" s="2" t="s">
        <v>25</v>
      </c>
      <c r="F29" s="2" t="s">
        <v>25</v>
      </c>
    </row>
    <row r="30" spans="1:27" x14ac:dyDescent="0.2">
      <c r="A30" s="128">
        <v>1</v>
      </c>
      <c r="B30" s="131">
        <v>0</v>
      </c>
      <c r="C30" s="133">
        <v>1</v>
      </c>
      <c r="D30" s="82" t="e">
        <f t="array" aca="1" ref="D30:D50" ca="1">csplinea(A30:A34,B30:B34,C30:C50)</f>
        <v>#NAME?</v>
      </c>
      <c r="E30" s="82" t="e">
        <f t="array" aca="1" ref="E30:E50" ca="1">chsplinea(A30:A34,B30:B34,C30:C50,,1)</f>
        <v>#NAME?</v>
      </c>
      <c r="F30" s="82" t="e">
        <f t="array" aca="1" ref="F30:F50" ca="1">chsplinea(A30:A34,B30:B34,C30:C50,TRUE)</f>
        <v>#NAME?</v>
      </c>
    </row>
    <row r="31" spans="1:27" x14ac:dyDescent="0.2">
      <c r="A31" s="129">
        <v>2</v>
      </c>
      <c r="B31" s="132">
        <v>0</v>
      </c>
      <c r="C31" s="134">
        <v>1.2</v>
      </c>
      <c r="D31" s="82" t="e">
        <f ca="1"/>
        <v>#NAME?</v>
      </c>
      <c r="E31" s="82" t="e">
        <f ca="1"/>
        <v>#NAME?</v>
      </c>
      <c r="F31" s="82" t="e">
        <f ca="1"/>
        <v>#NAME?</v>
      </c>
    </row>
    <row r="32" spans="1:27" x14ac:dyDescent="0.2">
      <c r="A32" s="129">
        <v>3</v>
      </c>
      <c r="B32" s="132">
        <v>1</v>
      </c>
      <c r="C32" s="134">
        <v>1.4</v>
      </c>
      <c r="D32" s="82" t="e">
        <f ca="1"/>
        <v>#NAME?</v>
      </c>
      <c r="E32" s="82" t="e">
        <f ca="1"/>
        <v>#NAME?</v>
      </c>
      <c r="F32" s="82" t="e">
        <f ca="1"/>
        <v>#NAME?</v>
      </c>
    </row>
    <row r="33" spans="1:6" x14ac:dyDescent="0.2">
      <c r="A33" s="129">
        <v>4</v>
      </c>
      <c r="B33" s="196">
        <v>1</v>
      </c>
      <c r="C33" s="134">
        <v>1.6</v>
      </c>
      <c r="D33" s="82" t="e">
        <f ca="1"/>
        <v>#NAME?</v>
      </c>
      <c r="E33" s="82" t="e">
        <f ca="1"/>
        <v>#NAME?</v>
      </c>
      <c r="F33" s="82" t="e">
        <f ca="1"/>
        <v>#NAME?</v>
      </c>
    </row>
    <row r="34" spans="1:6" x14ac:dyDescent="0.2">
      <c r="A34" s="129">
        <v>5</v>
      </c>
      <c r="B34" s="132">
        <v>3.1</v>
      </c>
      <c r="C34" s="134">
        <v>1.8</v>
      </c>
      <c r="D34" s="82" t="e">
        <f ca="1"/>
        <v>#NAME?</v>
      </c>
      <c r="E34" s="82" t="e">
        <f ca="1"/>
        <v>#NAME?</v>
      </c>
      <c r="F34" s="82" t="e">
        <f ca="1"/>
        <v>#NAME?</v>
      </c>
    </row>
    <row r="35" spans="1:6" x14ac:dyDescent="0.2">
      <c r="A35" s="11"/>
      <c r="B35" s="26"/>
      <c r="C35" s="134">
        <v>2</v>
      </c>
      <c r="D35" s="82" t="e">
        <f ca="1"/>
        <v>#NAME?</v>
      </c>
      <c r="E35" s="82" t="e">
        <f ca="1"/>
        <v>#NAME?</v>
      </c>
      <c r="F35" s="82" t="e">
        <f ca="1"/>
        <v>#NAME?</v>
      </c>
    </row>
    <row r="36" spans="1:6" x14ac:dyDescent="0.2">
      <c r="C36" s="134">
        <v>2.2000000000000002</v>
      </c>
      <c r="D36" s="82" t="e">
        <f ca="1"/>
        <v>#NAME?</v>
      </c>
      <c r="E36" s="82" t="e">
        <f ca="1"/>
        <v>#NAME?</v>
      </c>
      <c r="F36" s="82" t="e">
        <f ca="1"/>
        <v>#NAME?</v>
      </c>
    </row>
    <row r="37" spans="1:6" x14ac:dyDescent="0.2">
      <c r="C37" s="134">
        <v>2.4</v>
      </c>
      <c r="D37" s="82" t="e">
        <f ca="1"/>
        <v>#NAME?</v>
      </c>
      <c r="E37" s="82" t="e">
        <f ca="1"/>
        <v>#NAME?</v>
      </c>
      <c r="F37" s="82" t="e">
        <f ca="1"/>
        <v>#NAME?</v>
      </c>
    </row>
    <row r="38" spans="1:6" x14ac:dyDescent="0.2">
      <c r="C38" s="134">
        <v>2.6</v>
      </c>
      <c r="D38" s="82" t="e">
        <f ca="1"/>
        <v>#NAME?</v>
      </c>
      <c r="E38" s="82" t="e">
        <f ca="1"/>
        <v>#NAME?</v>
      </c>
      <c r="F38" s="82" t="e">
        <f ca="1"/>
        <v>#NAME?</v>
      </c>
    </row>
    <row r="39" spans="1:6" x14ac:dyDescent="0.2">
      <c r="C39" s="134">
        <v>2.8</v>
      </c>
      <c r="D39" s="82" t="e">
        <f ca="1"/>
        <v>#NAME?</v>
      </c>
      <c r="E39" s="82" t="e">
        <f ca="1"/>
        <v>#NAME?</v>
      </c>
      <c r="F39" s="82" t="e">
        <f ca="1"/>
        <v>#NAME?</v>
      </c>
    </row>
    <row r="40" spans="1:6" x14ac:dyDescent="0.2">
      <c r="C40" s="134">
        <v>3</v>
      </c>
      <c r="D40" s="82" t="e">
        <f ca="1"/>
        <v>#NAME?</v>
      </c>
      <c r="E40" s="82" t="e">
        <f ca="1"/>
        <v>#NAME?</v>
      </c>
      <c r="F40" s="82" t="e">
        <f ca="1"/>
        <v>#NAME?</v>
      </c>
    </row>
    <row r="41" spans="1:6" x14ac:dyDescent="0.2">
      <c r="C41" s="134">
        <v>3.2</v>
      </c>
      <c r="D41" s="82" t="e">
        <f ca="1"/>
        <v>#NAME?</v>
      </c>
      <c r="E41" s="82" t="e">
        <f ca="1"/>
        <v>#NAME?</v>
      </c>
      <c r="F41" s="82" t="e">
        <f ca="1"/>
        <v>#NAME?</v>
      </c>
    </row>
    <row r="42" spans="1:6" x14ac:dyDescent="0.2">
      <c r="C42" s="134">
        <v>3.4</v>
      </c>
      <c r="D42" s="82" t="e">
        <f ca="1"/>
        <v>#NAME?</v>
      </c>
      <c r="E42" s="82" t="e">
        <f ca="1"/>
        <v>#NAME?</v>
      </c>
      <c r="F42" s="82" t="e">
        <f ca="1"/>
        <v>#NAME?</v>
      </c>
    </row>
    <row r="43" spans="1:6" x14ac:dyDescent="0.2">
      <c r="C43" s="134">
        <v>3.6</v>
      </c>
      <c r="D43" s="82" t="e">
        <f ca="1"/>
        <v>#NAME?</v>
      </c>
      <c r="E43" s="82" t="e">
        <f ca="1"/>
        <v>#NAME?</v>
      </c>
      <c r="F43" s="82" t="e">
        <f ca="1"/>
        <v>#NAME?</v>
      </c>
    </row>
    <row r="44" spans="1:6" x14ac:dyDescent="0.2">
      <c r="C44" s="134">
        <v>3.8</v>
      </c>
      <c r="D44" s="82" t="e">
        <f ca="1"/>
        <v>#NAME?</v>
      </c>
      <c r="E44" s="82" t="e">
        <f ca="1"/>
        <v>#NAME?</v>
      </c>
      <c r="F44" s="82" t="e">
        <f ca="1"/>
        <v>#NAME?</v>
      </c>
    </row>
    <row r="45" spans="1:6" x14ac:dyDescent="0.2">
      <c r="C45" s="134">
        <v>4</v>
      </c>
      <c r="D45" s="82" t="e">
        <f ca="1"/>
        <v>#NAME?</v>
      </c>
      <c r="E45" s="82" t="e">
        <f ca="1"/>
        <v>#NAME?</v>
      </c>
      <c r="F45" s="82" t="e">
        <f ca="1"/>
        <v>#NAME?</v>
      </c>
    </row>
    <row r="46" spans="1:6" x14ac:dyDescent="0.2">
      <c r="C46" s="134">
        <v>4.2</v>
      </c>
      <c r="D46" s="82" t="e">
        <f ca="1"/>
        <v>#NAME?</v>
      </c>
      <c r="E46" s="82" t="e">
        <f ca="1"/>
        <v>#NAME?</v>
      </c>
      <c r="F46" s="82" t="e">
        <f ca="1"/>
        <v>#NAME?</v>
      </c>
    </row>
    <row r="47" spans="1:6" x14ac:dyDescent="0.2">
      <c r="C47" s="134">
        <v>4.4000000000000004</v>
      </c>
      <c r="D47" s="82" t="e">
        <f ca="1"/>
        <v>#NAME?</v>
      </c>
      <c r="E47" s="82" t="e">
        <f ca="1"/>
        <v>#NAME?</v>
      </c>
      <c r="F47" s="82" t="e">
        <f ca="1"/>
        <v>#NAME?</v>
      </c>
    </row>
    <row r="48" spans="1:6" x14ac:dyDescent="0.2">
      <c r="C48" s="134">
        <v>4.5999999999999996</v>
      </c>
      <c r="D48" s="82" t="e">
        <f ca="1"/>
        <v>#NAME?</v>
      </c>
      <c r="E48" s="82" t="e">
        <f ca="1"/>
        <v>#NAME?</v>
      </c>
      <c r="F48" s="82" t="e">
        <f ca="1"/>
        <v>#NAME?</v>
      </c>
    </row>
    <row r="49" spans="1:6" x14ac:dyDescent="0.2">
      <c r="C49" s="134">
        <v>4.8</v>
      </c>
      <c r="D49" s="82" t="e">
        <f ca="1"/>
        <v>#NAME?</v>
      </c>
      <c r="E49" s="82" t="e">
        <f ca="1"/>
        <v>#NAME?</v>
      </c>
      <c r="F49" s="82" t="e">
        <f ca="1"/>
        <v>#NAME?</v>
      </c>
    </row>
    <row r="50" spans="1:6" x14ac:dyDescent="0.2">
      <c r="C50" s="134">
        <v>5</v>
      </c>
      <c r="D50" s="82" t="e">
        <f ca="1"/>
        <v>#NAME?</v>
      </c>
      <c r="E50" s="82" t="e">
        <f ca="1"/>
        <v>#NAME?</v>
      </c>
      <c r="F50" s="82" t="e">
        <f ca="1"/>
        <v>#NAME?</v>
      </c>
    </row>
    <row r="51" spans="1:6" ht="13.5" thickBot="1" x14ac:dyDescent="0.25">
      <c r="A51" s="12"/>
      <c r="B51" s="27"/>
      <c r="C51" s="135"/>
      <c r="D51" s="83"/>
      <c r="E51" s="83"/>
      <c r="F51" s="83"/>
    </row>
    <row r="53" spans="1:6" x14ac:dyDescent="0.2">
      <c r="E53" s="7"/>
      <c r="F53" s="7"/>
    </row>
    <row r="54" spans="1:6" x14ac:dyDescent="0.2">
      <c r="E54" s="7"/>
      <c r="F54" s="7"/>
    </row>
    <row r="55" spans="1:6" x14ac:dyDescent="0.2">
      <c r="E55" s="7"/>
      <c r="F55" s="7"/>
    </row>
    <row r="56" spans="1:6" x14ac:dyDescent="0.2">
      <c r="E56" s="7"/>
      <c r="F56" s="7"/>
    </row>
    <row r="57" spans="1:6" x14ac:dyDescent="0.2">
      <c r="E57" s="7"/>
      <c r="F57" s="7"/>
    </row>
    <row r="58" spans="1:6" ht="13.5" x14ac:dyDescent="0.25">
      <c r="A58" s="184"/>
      <c r="E58" s="7"/>
      <c r="F58" s="7"/>
    </row>
    <row r="59" spans="1:6" ht="13.5" x14ac:dyDescent="0.25">
      <c r="A59" s="184"/>
      <c r="E59" s="7"/>
      <c r="F59" s="7"/>
    </row>
    <row r="60" spans="1:6" ht="13.5" x14ac:dyDescent="0.25">
      <c r="A60" s="184"/>
      <c r="E60" s="7"/>
      <c r="F60" s="7"/>
    </row>
    <row r="61" spans="1:6" ht="13.5" x14ac:dyDescent="0.25">
      <c r="A61" s="184"/>
      <c r="E61" s="7"/>
      <c r="F61" s="7"/>
    </row>
    <row r="62" spans="1:6" ht="13.5" x14ac:dyDescent="0.25">
      <c r="A62" s="184"/>
      <c r="E62" s="7"/>
      <c r="F62" s="7"/>
    </row>
    <row r="63" spans="1:6" ht="13.5" x14ac:dyDescent="0.25">
      <c r="A63" s="184"/>
      <c r="E63" s="7"/>
      <c r="F63" s="7"/>
    </row>
    <row r="64" spans="1:6" ht="13.5" x14ac:dyDescent="0.25">
      <c r="A64" s="184"/>
      <c r="E64" s="7"/>
      <c r="F64" s="7"/>
    </row>
    <row r="65" spans="1:17" ht="13.5" x14ac:dyDescent="0.25">
      <c r="A65" s="184"/>
      <c r="E65" s="7"/>
      <c r="F65" s="7"/>
    </row>
    <row r="66" spans="1:17" ht="13.5" x14ac:dyDescent="0.25">
      <c r="A66" s="184"/>
      <c r="E66" s="7"/>
      <c r="F66" s="7"/>
    </row>
    <row r="67" spans="1:17" ht="13.5" x14ac:dyDescent="0.25">
      <c r="A67" s="184"/>
      <c r="E67" s="7"/>
      <c r="F67" s="7"/>
      <c r="I67" s="185"/>
      <c r="J67" s="3"/>
      <c r="K67" s="3"/>
      <c r="M67" s="3"/>
      <c r="N67" s="3"/>
    </row>
    <row r="68" spans="1:17" ht="13.5" x14ac:dyDescent="0.25">
      <c r="A68" s="184"/>
      <c r="E68" s="7"/>
      <c r="F68" s="7"/>
    </row>
    <row r="69" spans="1:17" ht="13.5" x14ac:dyDescent="0.25">
      <c r="A69" s="184"/>
      <c r="E69" s="7"/>
      <c r="F69" s="7"/>
    </row>
    <row r="70" spans="1:17" ht="13.5" x14ac:dyDescent="0.25">
      <c r="A70" s="184"/>
      <c r="E70" s="7"/>
      <c r="F70" s="7"/>
    </row>
    <row r="71" spans="1:17" ht="13.5" x14ac:dyDescent="0.25">
      <c r="A71" s="184"/>
      <c r="E71" s="7"/>
      <c r="F71" s="7"/>
    </row>
    <row r="72" spans="1:17" ht="13.5" x14ac:dyDescent="0.25">
      <c r="A72" s="184"/>
      <c r="E72" s="7"/>
      <c r="F72" s="7"/>
      <c r="M72" s="3"/>
      <c r="N72" s="3"/>
    </row>
    <row r="73" spans="1:17" ht="13.5" x14ac:dyDescent="0.25">
      <c r="A73" s="184"/>
      <c r="E73" s="7"/>
      <c r="F73" s="7"/>
    </row>
    <row r="74" spans="1:17" ht="13.5" x14ac:dyDescent="0.25">
      <c r="A74" s="184"/>
    </row>
    <row r="75" spans="1:17" ht="13.5" x14ac:dyDescent="0.25">
      <c r="A75" s="184"/>
      <c r="Q75" s="106"/>
    </row>
    <row r="76" spans="1:17" ht="13.5" x14ac:dyDescent="0.25">
      <c r="A76" s="184"/>
      <c r="Q76" s="106"/>
    </row>
    <row r="77" spans="1:17" ht="13.5" x14ac:dyDescent="0.25">
      <c r="A77" s="184"/>
      <c r="Q77" s="106"/>
    </row>
    <row r="78" spans="1:17" ht="13.5" x14ac:dyDescent="0.25">
      <c r="A78" s="184"/>
      <c r="Q78" s="106"/>
    </row>
    <row r="79" spans="1:17" ht="13.5" x14ac:dyDescent="0.25">
      <c r="A79" s="184"/>
      <c r="Q79" s="106"/>
    </row>
    <row r="80" spans="1:17" ht="13.5" x14ac:dyDescent="0.25">
      <c r="A80" s="184"/>
      <c r="Q80" s="106"/>
    </row>
    <row r="81" spans="1:17" ht="13.5" x14ac:dyDescent="0.25">
      <c r="A81" s="184"/>
      <c r="Q81" s="106"/>
    </row>
    <row r="82" spans="1:17" ht="13.5" x14ac:dyDescent="0.25">
      <c r="A82" s="184"/>
      <c r="Q82" s="106"/>
    </row>
    <row r="83" spans="1:17" ht="13.5" x14ac:dyDescent="0.25">
      <c r="A83" s="184"/>
      <c r="Q83" s="106"/>
    </row>
    <row r="84" spans="1:17" ht="13.5" x14ac:dyDescent="0.25">
      <c r="A84" s="184"/>
      <c r="Q84" s="106"/>
    </row>
    <row r="85" spans="1:17" ht="13.5" x14ac:dyDescent="0.25">
      <c r="A85" s="184"/>
      <c r="Q85" s="106"/>
    </row>
    <row r="86" spans="1:17" ht="13.5" x14ac:dyDescent="0.25">
      <c r="A86" s="184"/>
      <c r="Q86" s="106"/>
    </row>
    <row r="87" spans="1:17" ht="13.5" x14ac:dyDescent="0.25">
      <c r="A87" s="184"/>
      <c r="Q87" s="106"/>
    </row>
    <row r="88" spans="1:17" ht="13.5" x14ac:dyDescent="0.25">
      <c r="A88" s="184"/>
      <c r="Q88" s="106"/>
    </row>
    <row r="89" spans="1:17" ht="13.5" x14ac:dyDescent="0.25">
      <c r="A89" s="184"/>
      <c r="Q89" s="106"/>
    </row>
    <row r="90" spans="1:17" ht="13.5" x14ac:dyDescent="0.25">
      <c r="A90" s="184"/>
      <c r="Q90" s="106"/>
    </row>
    <row r="93" spans="1:17" ht="13.5" x14ac:dyDescent="0.25">
      <c r="A93" s="184"/>
    </row>
    <row r="94" spans="1:17" ht="13.5" x14ac:dyDescent="0.25">
      <c r="A94" s="184"/>
    </row>
    <row r="95" spans="1:17" ht="13.5" x14ac:dyDescent="0.25">
      <c r="A95" s="184"/>
    </row>
    <row r="96" spans="1:17" ht="13.5" x14ac:dyDescent="0.25">
      <c r="A96" s="184"/>
    </row>
    <row r="98" spans="1:1" ht="13.5" x14ac:dyDescent="0.25">
      <c r="A98" s="184"/>
    </row>
    <row r="99" spans="1:1" ht="13.5" x14ac:dyDescent="0.25">
      <c r="A99" s="184"/>
    </row>
    <row r="100" spans="1:1" ht="13.5" x14ac:dyDescent="0.25">
      <c r="A100" s="184"/>
    </row>
    <row r="101" spans="1:1" ht="13.5" x14ac:dyDescent="0.25">
      <c r="A101" s="184"/>
    </row>
    <row r="102" spans="1:1" ht="13.5" x14ac:dyDescent="0.25">
      <c r="A102" s="184"/>
    </row>
    <row r="103" spans="1:1" ht="13.5" x14ac:dyDescent="0.25">
      <c r="A103" s="184"/>
    </row>
    <row r="105" spans="1:1" ht="13.5" x14ac:dyDescent="0.25">
      <c r="A105" s="184"/>
    </row>
    <row r="106" spans="1:1" ht="13.5" x14ac:dyDescent="0.25">
      <c r="A106" s="184"/>
    </row>
    <row r="107" spans="1:1" ht="13.5" x14ac:dyDescent="0.25">
      <c r="A107" s="184"/>
    </row>
    <row r="108" spans="1:1" ht="13.5" x14ac:dyDescent="0.25">
      <c r="A108" s="184"/>
    </row>
    <row r="109" spans="1:1" ht="13.5" x14ac:dyDescent="0.25">
      <c r="A109" s="184"/>
    </row>
    <row r="110" spans="1:1" ht="13.5" x14ac:dyDescent="0.25">
      <c r="A110" s="184"/>
    </row>
    <row r="111" spans="1:1" ht="13.5" x14ac:dyDescent="0.25">
      <c r="A111" s="184"/>
    </row>
    <row r="112" spans="1:1" ht="13.5" x14ac:dyDescent="0.25">
      <c r="A112" s="184"/>
    </row>
    <row r="113" spans="1:1" ht="13.5" x14ac:dyDescent="0.25">
      <c r="A113" s="184"/>
    </row>
    <row r="114" spans="1:1" ht="13.5" x14ac:dyDescent="0.25">
      <c r="A114" s="184"/>
    </row>
    <row r="115" spans="1:1" ht="13.5" x14ac:dyDescent="0.25">
      <c r="A115" s="184"/>
    </row>
    <row r="116" spans="1:1" ht="13.5" x14ac:dyDescent="0.25">
      <c r="A116" s="184"/>
    </row>
    <row r="117" spans="1:1" ht="13.5" x14ac:dyDescent="0.25">
      <c r="A117" s="184"/>
    </row>
    <row r="118" spans="1:1" ht="13.5" x14ac:dyDescent="0.25">
      <c r="A118" s="184"/>
    </row>
    <row r="119" spans="1:1" ht="13.5" x14ac:dyDescent="0.25">
      <c r="A119" s="184"/>
    </row>
    <row r="120" spans="1:1" ht="13.5" x14ac:dyDescent="0.25">
      <c r="A120" s="184"/>
    </row>
    <row r="121" spans="1:1" ht="13.5" x14ac:dyDescent="0.25">
      <c r="A121" s="184"/>
    </row>
    <row r="122" spans="1:1" ht="13.5" x14ac:dyDescent="0.25">
      <c r="A122" s="184"/>
    </row>
    <row r="123" spans="1:1" ht="13.5" x14ac:dyDescent="0.25">
      <c r="A123" s="184"/>
    </row>
    <row r="124" spans="1:1" ht="13.5" x14ac:dyDescent="0.25">
      <c r="A124" s="184"/>
    </row>
    <row r="125" spans="1:1" ht="13.5" x14ac:dyDescent="0.25">
      <c r="A125" s="184"/>
    </row>
    <row r="126" spans="1:1" ht="13.5" x14ac:dyDescent="0.25">
      <c r="A126" s="184"/>
    </row>
  </sheetData>
  <mergeCells count="1">
    <mergeCell ref="A28:B2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12"/>
  <sheetViews>
    <sheetView topLeftCell="A24" zoomScaleNormal="100" workbookViewId="0">
      <selection activeCell="D46" sqref="D46"/>
    </sheetView>
  </sheetViews>
  <sheetFormatPr defaultRowHeight="12.75" x14ac:dyDescent="0.2"/>
  <cols>
    <col min="1" max="1" width="23.7109375" customWidth="1"/>
  </cols>
  <sheetData>
    <row r="1" spans="1:2" ht="15" x14ac:dyDescent="0.25">
      <c r="A1" s="9" t="s">
        <v>211</v>
      </c>
    </row>
    <row r="3" spans="1:2" x14ac:dyDescent="0.2">
      <c r="A3" s="3" t="s">
        <v>212</v>
      </c>
    </row>
    <row r="4" spans="1:2" x14ac:dyDescent="0.2">
      <c r="A4" s="10" t="s">
        <v>313</v>
      </c>
    </row>
    <row r="5" spans="1:2" ht="15" x14ac:dyDescent="0.25">
      <c r="A5" s="46" t="s">
        <v>300</v>
      </c>
    </row>
    <row r="6" spans="1:2" x14ac:dyDescent="0.2">
      <c r="A6" s="3" t="s">
        <v>6</v>
      </c>
      <c r="B6" s="4" t="s">
        <v>213</v>
      </c>
    </row>
    <row r="7" spans="1:2" x14ac:dyDescent="0.2">
      <c r="A7" s="4" t="s">
        <v>131</v>
      </c>
      <c r="B7" s="3" t="s">
        <v>301</v>
      </c>
    </row>
    <row r="8" spans="1:2" x14ac:dyDescent="0.2">
      <c r="A8" s="4" t="s">
        <v>235</v>
      </c>
      <c r="B8" s="4" t="s">
        <v>236</v>
      </c>
    </row>
    <row r="9" spans="1:2" x14ac:dyDescent="0.2">
      <c r="A9" s="4" t="s">
        <v>221</v>
      </c>
      <c r="B9" s="4" t="s">
        <v>242</v>
      </c>
    </row>
    <row r="10" spans="1:2" x14ac:dyDescent="0.2">
      <c r="A10" s="4" t="s">
        <v>214</v>
      </c>
      <c r="B10" s="6" t="s">
        <v>215</v>
      </c>
    </row>
    <row r="11" spans="1:2" x14ac:dyDescent="0.2">
      <c r="A11" s="3"/>
      <c r="B11" s="6" t="s">
        <v>216</v>
      </c>
    </row>
    <row r="12" spans="1:2" x14ac:dyDescent="0.2">
      <c r="A12" s="261" t="s">
        <v>303</v>
      </c>
      <c r="B12" s="261" t="s">
        <v>304</v>
      </c>
    </row>
    <row r="13" spans="1:2" x14ac:dyDescent="0.2">
      <c r="A13" s="261"/>
      <c r="B13" s="261" t="s">
        <v>305</v>
      </c>
    </row>
    <row r="14" spans="1:2" x14ac:dyDescent="0.2">
      <c r="A14" s="3"/>
      <c r="B14" s="4"/>
    </row>
    <row r="15" spans="1:2" ht="15" x14ac:dyDescent="0.25">
      <c r="A15" s="9" t="s">
        <v>71</v>
      </c>
      <c r="B15" s="3"/>
    </row>
    <row r="16" spans="1:2" x14ac:dyDescent="0.2">
      <c r="A16" s="10" t="s">
        <v>309</v>
      </c>
    </row>
    <row r="17" spans="1:29" x14ac:dyDescent="0.2">
      <c r="A17" s="10" t="s">
        <v>57</v>
      </c>
      <c r="C17" s="3" t="s">
        <v>58</v>
      </c>
    </row>
    <row r="18" spans="1:29" x14ac:dyDescent="0.2">
      <c r="A18" s="10"/>
      <c r="C18" s="3" t="s">
        <v>59</v>
      </c>
    </row>
    <row r="19" spans="1:29" x14ac:dyDescent="0.2">
      <c r="A19" s="10"/>
      <c r="C19" s="3" t="s">
        <v>60</v>
      </c>
    </row>
    <row r="20" spans="1:29" x14ac:dyDescent="0.2">
      <c r="A20" s="10"/>
      <c r="C20" s="3" t="s">
        <v>61</v>
      </c>
    </row>
    <row r="21" spans="1:29" x14ac:dyDescent="0.2">
      <c r="A21" s="5" t="s">
        <v>217</v>
      </c>
      <c r="B21" s="301" t="s">
        <v>218</v>
      </c>
      <c r="C21" s="301"/>
      <c r="H21" s="5" t="s">
        <v>307</v>
      </c>
    </row>
    <row r="22" spans="1:29" x14ac:dyDescent="0.2">
      <c r="B22" s="105" t="s">
        <v>219</v>
      </c>
      <c r="C22" s="105" t="s">
        <v>220</v>
      </c>
      <c r="H22" s="264" t="s">
        <v>88</v>
      </c>
      <c r="I22" s="285">
        <v>1</v>
      </c>
      <c r="J22" s="285">
        <v>1.2</v>
      </c>
      <c r="K22" s="285">
        <v>1.4</v>
      </c>
      <c r="L22" s="285">
        <v>1.6</v>
      </c>
      <c r="M22" s="285">
        <v>1.8</v>
      </c>
      <c r="N22" s="285">
        <v>2</v>
      </c>
      <c r="O22" s="285">
        <v>2.2000000000000002</v>
      </c>
      <c r="P22" s="285">
        <v>2.4</v>
      </c>
      <c r="Q22" s="285">
        <v>2.6</v>
      </c>
      <c r="R22" s="285">
        <v>2.8</v>
      </c>
      <c r="S22" s="285">
        <v>3</v>
      </c>
      <c r="T22" s="285">
        <v>3.2</v>
      </c>
      <c r="U22" s="285">
        <v>3.4</v>
      </c>
      <c r="V22" s="285">
        <v>3.6</v>
      </c>
      <c r="W22" s="285">
        <v>3.8</v>
      </c>
      <c r="X22" s="285">
        <v>4</v>
      </c>
      <c r="Y22" s="285">
        <v>4.2</v>
      </c>
      <c r="Z22" s="285">
        <v>4.4000000000000004</v>
      </c>
      <c r="AA22" s="285">
        <v>4.5999999999999996</v>
      </c>
      <c r="AB22" s="285">
        <v>4.8</v>
      </c>
      <c r="AC22" s="286">
        <v>5</v>
      </c>
    </row>
    <row r="23" spans="1:29" x14ac:dyDescent="0.2">
      <c r="A23" s="105" t="s">
        <v>88</v>
      </c>
      <c r="B23" s="105" t="s">
        <v>24</v>
      </c>
      <c r="C23" s="105" t="s">
        <v>25</v>
      </c>
      <c r="H23" s="289" t="s">
        <v>25</v>
      </c>
      <c r="I23" s="273" t="e">
        <f t="array" aca="1" ref="I23:AC23" ca="1">cardspline(A30:A36,B30:B36,I22:AC22,$B$38,$E$28)</f>
        <v>#NAME?</v>
      </c>
      <c r="J23" s="51" t="e">
        <f ca="1"/>
        <v>#NAME?</v>
      </c>
      <c r="K23" s="51" t="e">
        <f ca="1"/>
        <v>#NAME?</v>
      </c>
      <c r="L23" s="51" t="e">
        <f ca="1"/>
        <v>#NAME?</v>
      </c>
      <c r="M23" s="51" t="e">
        <f ca="1"/>
        <v>#NAME?</v>
      </c>
      <c r="N23" s="51" t="e">
        <f ca="1"/>
        <v>#NAME?</v>
      </c>
      <c r="O23" s="51" t="e">
        <f ca="1"/>
        <v>#NAME?</v>
      </c>
      <c r="P23" s="51" t="e">
        <f ca="1"/>
        <v>#NAME?</v>
      </c>
      <c r="Q23" s="51" t="e">
        <f ca="1"/>
        <v>#NAME?</v>
      </c>
      <c r="R23" s="51" t="e">
        <f ca="1"/>
        <v>#NAME?</v>
      </c>
      <c r="S23" s="51" t="e">
        <f ca="1"/>
        <v>#NAME?</v>
      </c>
      <c r="T23" s="51" t="e">
        <f ca="1"/>
        <v>#NAME?</v>
      </c>
      <c r="U23" s="51" t="e">
        <f ca="1"/>
        <v>#NAME?</v>
      </c>
      <c r="V23" s="51" t="e">
        <f ca="1"/>
        <v>#NAME?</v>
      </c>
      <c r="W23" s="51" t="e">
        <f ca="1"/>
        <v>#NAME?</v>
      </c>
      <c r="X23" s="51" t="e">
        <f ca="1"/>
        <v>#NAME?</v>
      </c>
      <c r="Y23" s="51" t="e">
        <f ca="1"/>
        <v>#NAME?</v>
      </c>
      <c r="Z23" s="51" t="e">
        <f ca="1"/>
        <v>#NAME?</v>
      </c>
      <c r="AA23" s="51" t="e">
        <f ca="1"/>
        <v>#NAME?</v>
      </c>
      <c r="AB23" s="51" t="e">
        <f ca="1"/>
        <v>#NAME?</v>
      </c>
      <c r="AC23" s="53" t="e">
        <f ca="1"/>
        <v>#NAME?</v>
      </c>
    </row>
    <row r="24" spans="1:29" x14ac:dyDescent="0.2">
      <c r="A24" s="105" t="s">
        <v>24</v>
      </c>
      <c r="B24" s="105" t="s">
        <v>25</v>
      </c>
      <c r="C24" s="105" t="s">
        <v>88</v>
      </c>
    </row>
    <row r="25" spans="1:29" x14ac:dyDescent="0.2">
      <c r="A25" s="105" t="s">
        <v>25</v>
      </c>
      <c r="B25" s="105" t="s">
        <v>24</v>
      </c>
      <c r="C25" s="105" t="s">
        <v>88</v>
      </c>
    </row>
    <row r="27" spans="1:29" ht="13.5" thickBot="1" x14ac:dyDescent="0.25">
      <c r="A27" s="3" t="s">
        <v>237</v>
      </c>
      <c r="C27" s="3"/>
    </row>
    <row r="28" spans="1:29" ht="13.5" thickBot="1" x14ac:dyDescent="0.25">
      <c r="A28" s="292" t="s">
        <v>22</v>
      </c>
      <c r="B28" s="302"/>
      <c r="C28" s="186"/>
      <c r="D28" s="192" t="s">
        <v>222</v>
      </c>
      <c r="E28" s="193" t="s">
        <v>88</v>
      </c>
      <c r="F28" s="186"/>
      <c r="G28" s="192" t="s">
        <v>223</v>
      </c>
      <c r="H28" s="193" t="s">
        <v>24</v>
      </c>
      <c r="I28" s="186"/>
      <c r="J28" s="192" t="s">
        <v>224</v>
      </c>
      <c r="K28" s="193" t="s">
        <v>25</v>
      </c>
    </row>
    <row r="29" spans="1:29" ht="13.5" thickBot="1" x14ac:dyDescent="0.25">
      <c r="A29" s="1" t="s">
        <v>24</v>
      </c>
      <c r="B29" s="13" t="s">
        <v>25</v>
      </c>
      <c r="C29" s="1" t="s">
        <v>88</v>
      </c>
      <c r="D29" s="13" t="s">
        <v>24</v>
      </c>
      <c r="E29" s="2" t="s">
        <v>25</v>
      </c>
      <c r="F29" s="1" t="s">
        <v>24</v>
      </c>
      <c r="G29" s="13" t="s">
        <v>25</v>
      </c>
      <c r="H29" s="2" t="s">
        <v>88</v>
      </c>
      <c r="I29" s="1" t="s">
        <v>25</v>
      </c>
      <c r="J29" s="13" t="s">
        <v>24</v>
      </c>
      <c r="K29" s="2" t="s">
        <v>88</v>
      </c>
    </row>
    <row r="30" spans="1:29" x14ac:dyDescent="0.2">
      <c r="A30" s="128">
        <v>1</v>
      </c>
      <c r="B30" s="131">
        <v>0.5</v>
      </c>
      <c r="C30" s="133">
        <v>1</v>
      </c>
      <c r="D30" s="188" t="e">
        <f t="array" aca="1" ref="D30:E50" ca="1">cardspline($A$30:$A$36,$B$30:$B$36,$C$30:$C$51,$B$38,$E$28)</f>
        <v>#NAME?</v>
      </c>
      <c r="E30" s="189" t="e">
        <f ca="1"/>
        <v>#NAME?</v>
      </c>
      <c r="F30" s="133" t="e">
        <f ca="1">+D30</f>
        <v>#NAME?</v>
      </c>
      <c r="G30" s="188" t="e">
        <f t="array" aca="1" ref="G30:H50" ca="1">cardspline($A$30:$A$36,$B$30:$B$36,F30:F50,$B$38,H$28)</f>
        <v>#NAME?</v>
      </c>
      <c r="H30" s="189" t="e">
        <f ca="1"/>
        <v>#NAME?</v>
      </c>
      <c r="I30" s="133" t="e">
        <f ca="1">+E30</f>
        <v>#NAME?</v>
      </c>
      <c r="J30" s="188" t="e">
        <f t="array" aca="1" ref="J30:K50" ca="1">cardspline($A$30:$A$36,$B$30:$B$36,I30:I50,$B$38,K$28)</f>
        <v>#NAME?</v>
      </c>
      <c r="K30" s="189" t="e">
        <f ca="1"/>
        <v>#NAME?</v>
      </c>
    </row>
    <row r="31" spans="1:29" x14ac:dyDescent="0.2">
      <c r="A31" s="129">
        <v>2</v>
      </c>
      <c r="B31" s="132">
        <v>0</v>
      </c>
      <c r="C31" s="134">
        <v>1.2</v>
      </c>
      <c r="D31" s="190" t="e">
        <f ca="1"/>
        <v>#NAME?</v>
      </c>
      <c r="E31" s="191" t="e">
        <f ca="1"/>
        <v>#NAME?</v>
      </c>
      <c r="F31" s="134" t="e">
        <f t="array" aca="1" ref="F31" ca="1">+D31</f>
        <v>#NAME?</v>
      </c>
      <c r="G31" s="190" t="e">
        <f ca="1"/>
        <v>#NAME?</v>
      </c>
      <c r="H31" s="191" t="e">
        <f ca="1"/>
        <v>#NAME?</v>
      </c>
      <c r="I31" s="134" t="e">
        <f t="shared" ref="I31:I50" ca="1" si="0">+E31</f>
        <v>#NAME?</v>
      </c>
      <c r="J31" s="190" t="e">
        <f ca="1"/>
        <v>#NAME?</v>
      </c>
      <c r="K31" s="191" t="e">
        <f ca="1"/>
        <v>#NAME?</v>
      </c>
    </row>
    <row r="32" spans="1:29" x14ac:dyDescent="0.2">
      <c r="A32" s="129">
        <v>3</v>
      </c>
      <c r="B32" s="132">
        <v>-0.5</v>
      </c>
      <c r="C32" s="134">
        <v>1.4</v>
      </c>
      <c r="D32" s="190" t="e">
        <f ca="1"/>
        <v>#NAME?</v>
      </c>
      <c r="E32" s="191" t="e">
        <f ca="1"/>
        <v>#NAME?</v>
      </c>
      <c r="F32" s="134" t="e">
        <f t="shared" ref="F32:F50" ca="1" si="1">+D32</f>
        <v>#NAME?</v>
      </c>
      <c r="G32" s="190" t="e">
        <f ca="1"/>
        <v>#NAME?</v>
      </c>
      <c r="H32" s="191" t="e">
        <f ca="1"/>
        <v>#NAME?</v>
      </c>
      <c r="I32" s="134" t="e">
        <f t="shared" ca="1" si="0"/>
        <v>#NAME?</v>
      </c>
      <c r="J32" s="190" t="e">
        <f ca="1"/>
        <v>#NAME?</v>
      </c>
      <c r="K32" s="191" t="e">
        <f ca="1"/>
        <v>#NAME?</v>
      </c>
    </row>
    <row r="33" spans="1:11" x14ac:dyDescent="0.2">
      <c r="A33" s="129">
        <v>5</v>
      </c>
      <c r="B33" s="132">
        <v>3</v>
      </c>
      <c r="C33" s="134">
        <v>1.6</v>
      </c>
      <c r="D33" s="190" t="e">
        <f ca="1"/>
        <v>#NAME?</v>
      </c>
      <c r="E33" s="191" t="e">
        <f ca="1"/>
        <v>#NAME?</v>
      </c>
      <c r="F33" s="134" t="e">
        <f t="shared" ca="1" si="1"/>
        <v>#NAME?</v>
      </c>
      <c r="G33" s="190" t="e">
        <f ca="1"/>
        <v>#NAME?</v>
      </c>
      <c r="H33" s="191" t="e">
        <f ca="1"/>
        <v>#NAME?</v>
      </c>
      <c r="I33" s="134" t="e">
        <f t="shared" ca="1" si="0"/>
        <v>#NAME?</v>
      </c>
      <c r="J33" s="190" t="e">
        <f ca="1"/>
        <v>#NAME?</v>
      </c>
      <c r="K33" s="191" t="e">
        <f ca="1"/>
        <v>#NAME?</v>
      </c>
    </row>
    <row r="34" spans="1:11" x14ac:dyDescent="0.2">
      <c r="A34" s="129">
        <v>4</v>
      </c>
      <c r="B34" s="132">
        <v>4</v>
      </c>
      <c r="C34" s="134">
        <v>1.8</v>
      </c>
      <c r="D34" s="190" t="e">
        <f ca="1"/>
        <v>#NAME?</v>
      </c>
      <c r="E34" s="191" t="e">
        <f ca="1"/>
        <v>#NAME?</v>
      </c>
      <c r="F34" s="134" t="e">
        <f t="shared" ca="1" si="1"/>
        <v>#NAME?</v>
      </c>
      <c r="G34" s="190" t="e">
        <f ca="1"/>
        <v>#NAME?</v>
      </c>
      <c r="H34" s="191" t="e">
        <f ca="1"/>
        <v>#NAME?</v>
      </c>
      <c r="I34" s="134" t="e">
        <f t="shared" ca="1" si="0"/>
        <v>#NAME?</v>
      </c>
      <c r="J34" s="190" t="e">
        <f ca="1"/>
        <v>#NAME?</v>
      </c>
      <c r="K34" s="191" t="e">
        <f ca="1"/>
        <v>#NAME?</v>
      </c>
    </row>
    <row r="35" spans="1:11" x14ac:dyDescent="0.2">
      <c r="A35" s="129">
        <v>2</v>
      </c>
      <c r="B35" s="132">
        <v>3</v>
      </c>
      <c r="C35" s="134">
        <v>2</v>
      </c>
      <c r="D35" s="190" t="e">
        <f ca="1"/>
        <v>#NAME?</v>
      </c>
      <c r="E35" s="191" t="e">
        <f ca="1"/>
        <v>#NAME?</v>
      </c>
      <c r="F35" s="134" t="e">
        <f t="shared" ca="1" si="1"/>
        <v>#NAME?</v>
      </c>
      <c r="G35" s="190" t="e">
        <f ca="1"/>
        <v>#NAME?</v>
      </c>
      <c r="H35" s="191" t="e">
        <f ca="1"/>
        <v>#NAME?</v>
      </c>
      <c r="I35" s="134" t="e">
        <f t="shared" ca="1" si="0"/>
        <v>#NAME?</v>
      </c>
      <c r="J35" s="190" t="e">
        <f ca="1"/>
        <v>#NAME?</v>
      </c>
      <c r="K35" s="191" t="e">
        <f ca="1"/>
        <v>#NAME?</v>
      </c>
    </row>
    <row r="36" spans="1:11" x14ac:dyDescent="0.2">
      <c r="A36" s="129">
        <v>1</v>
      </c>
      <c r="B36" s="132">
        <v>2.5</v>
      </c>
      <c r="C36" s="134">
        <v>2.2000000000000002</v>
      </c>
      <c r="D36" s="190" t="e">
        <f ca="1"/>
        <v>#NAME?</v>
      </c>
      <c r="E36" s="191" t="e">
        <f ca="1"/>
        <v>#NAME?</v>
      </c>
      <c r="F36" s="134" t="e">
        <f t="shared" ca="1" si="1"/>
        <v>#NAME?</v>
      </c>
      <c r="G36" s="190" t="e">
        <f ca="1"/>
        <v>#NAME?</v>
      </c>
      <c r="H36" s="191" t="e">
        <f ca="1"/>
        <v>#NAME?</v>
      </c>
      <c r="I36" s="134" t="e">
        <f t="shared" ca="1" si="0"/>
        <v>#NAME?</v>
      </c>
      <c r="J36" s="190" t="e">
        <f ca="1"/>
        <v>#NAME?</v>
      </c>
      <c r="K36" s="191" t="e">
        <f ca="1"/>
        <v>#NAME?</v>
      </c>
    </row>
    <row r="37" spans="1:11" x14ac:dyDescent="0.2">
      <c r="A37" s="129"/>
      <c r="B37" s="132"/>
      <c r="C37" s="134">
        <v>2.4</v>
      </c>
      <c r="D37" s="190" t="e">
        <f ca="1"/>
        <v>#NAME?</v>
      </c>
      <c r="E37" s="191" t="e">
        <f ca="1"/>
        <v>#NAME?</v>
      </c>
      <c r="F37" s="134" t="e">
        <f t="shared" ca="1" si="1"/>
        <v>#NAME?</v>
      </c>
      <c r="G37" s="190" t="e">
        <f ca="1"/>
        <v>#NAME?</v>
      </c>
      <c r="H37" s="191" t="e">
        <f ca="1"/>
        <v>#NAME?</v>
      </c>
      <c r="I37" s="134" t="e">
        <f t="shared" ca="1" si="0"/>
        <v>#NAME?</v>
      </c>
      <c r="J37" s="190" t="e">
        <f ca="1"/>
        <v>#NAME?</v>
      </c>
      <c r="K37" s="191" t="e">
        <f ca="1"/>
        <v>#NAME?</v>
      </c>
    </row>
    <row r="38" spans="1:11" x14ac:dyDescent="0.2">
      <c r="A38" s="185" t="s">
        <v>221</v>
      </c>
      <c r="B38" s="132">
        <v>0.1</v>
      </c>
      <c r="C38" s="134">
        <v>2.6</v>
      </c>
      <c r="D38" s="190" t="e">
        <f ca="1"/>
        <v>#NAME?</v>
      </c>
      <c r="E38" s="191" t="e">
        <f ca="1"/>
        <v>#NAME?</v>
      </c>
      <c r="F38" s="134" t="e">
        <f t="shared" ca="1" si="1"/>
        <v>#NAME?</v>
      </c>
      <c r="G38" s="190" t="e">
        <f ca="1"/>
        <v>#NAME?</v>
      </c>
      <c r="H38" s="191" t="e">
        <f ca="1"/>
        <v>#NAME?</v>
      </c>
      <c r="I38" s="134" t="e">
        <f t="shared" ca="1" si="0"/>
        <v>#NAME?</v>
      </c>
      <c r="J38" s="190" t="e">
        <f ca="1"/>
        <v>#NAME?</v>
      </c>
      <c r="K38" s="191" t="e">
        <f ca="1"/>
        <v>#NAME?</v>
      </c>
    </row>
    <row r="39" spans="1:11" x14ac:dyDescent="0.2">
      <c r="C39" s="134">
        <v>2.8</v>
      </c>
      <c r="D39" s="190" t="e">
        <f ca="1"/>
        <v>#NAME?</v>
      </c>
      <c r="E39" s="191" t="e">
        <f ca="1"/>
        <v>#NAME?</v>
      </c>
      <c r="F39" s="134" t="e">
        <f t="shared" ca="1" si="1"/>
        <v>#NAME?</v>
      </c>
      <c r="G39" s="190" t="e">
        <f ca="1"/>
        <v>#NAME?</v>
      </c>
      <c r="H39" s="191" t="e">
        <f ca="1"/>
        <v>#NAME?</v>
      </c>
      <c r="I39" s="134" t="e">
        <f t="shared" ca="1" si="0"/>
        <v>#NAME?</v>
      </c>
      <c r="J39" s="190" t="e">
        <f ca="1"/>
        <v>#NAME?</v>
      </c>
      <c r="K39" s="191" t="e">
        <f ca="1"/>
        <v>#NAME?</v>
      </c>
    </row>
    <row r="40" spans="1:11" x14ac:dyDescent="0.2">
      <c r="C40" s="134">
        <v>3</v>
      </c>
      <c r="D40" s="190" t="e">
        <f ca="1"/>
        <v>#NAME?</v>
      </c>
      <c r="E40" s="191" t="e">
        <f ca="1"/>
        <v>#NAME?</v>
      </c>
      <c r="F40" s="134" t="e">
        <f t="shared" ca="1" si="1"/>
        <v>#NAME?</v>
      </c>
      <c r="G40" s="190" t="e">
        <f ca="1"/>
        <v>#NAME?</v>
      </c>
      <c r="H40" s="191" t="e">
        <f ca="1"/>
        <v>#NAME?</v>
      </c>
      <c r="I40" s="134" t="e">
        <f t="shared" ca="1" si="0"/>
        <v>#NAME?</v>
      </c>
      <c r="J40" s="190" t="e">
        <f ca="1"/>
        <v>#NAME?</v>
      </c>
      <c r="K40" s="191" t="e">
        <f ca="1"/>
        <v>#NAME?</v>
      </c>
    </row>
    <row r="41" spans="1:11" x14ac:dyDescent="0.2">
      <c r="C41" s="134">
        <v>3.2</v>
      </c>
      <c r="D41" s="190" t="e">
        <f ca="1"/>
        <v>#NAME?</v>
      </c>
      <c r="E41" s="191" t="e">
        <f ca="1"/>
        <v>#NAME?</v>
      </c>
      <c r="F41" s="134" t="e">
        <f t="shared" ca="1" si="1"/>
        <v>#NAME?</v>
      </c>
      <c r="G41" s="190" t="e">
        <f ca="1"/>
        <v>#NAME?</v>
      </c>
      <c r="H41" s="191" t="e">
        <f ca="1"/>
        <v>#NAME?</v>
      </c>
      <c r="I41" s="134" t="e">
        <f t="shared" ca="1" si="0"/>
        <v>#NAME?</v>
      </c>
      <c r="J41" s="190" t="e">
        <f ca="1"/>
        <v>#NAME?</v>
      </c>
      <c r="K41" s="191" t="e">
        <f ca="1"/>
        <v>#NAME?</v>
      </c>
    </row>
    <row r="42" spans="1:11" x14ac:dyDescent="0.2">
      <c r="C42" s="134">
        <v>3.4</v>
      </c>
      <c r="D42" s="190" t="e">
        <f ca="1"/>
        <v>#NAME?</v>
      </c>
      <c r="E42" s="191" t="e">
        <f ca="1"/>
        <v>#NAME?</v>
      </c>
      <c r="F42" s="134" t="e">
        <f t="shared" ca="1" si="1"/>
        <v>#NAME?</v>
      </c>
      <c r="G42" s="190" t="e">
        <f ca="1"/>
        <v>#NAME?</v>
      </c>
      <c r="H42" s="191" t="e">
        <f ca="1"/>
        <v>#NAME?</v>
      </c>
      <c r="I42" s="134" t="e">
        <f t="shared" ca="1" si="0"/>
        <v>#NAME?</v>
      </c>
      <c r="J42" s="190" t="e">
        <f ca="1"/>
        <v>#NAME?</v>
      </c>
      <c r="K42" s="191" t="e">
        <f ca="1"/>
        <v>#NAME?</v>
      </c>
    </row>
    <row r="43" spans="1:11" x14ac:dyDescent="0.2">
      <c r="C43" s="134">
        <v>3.6</v>
      </c>
      <c r="D43" s="190" t="e">
        <f ca="1"/>
        <v>#NAME?</v>
      </c>
      <c r="E43" s="191" t="e">
        <f ca="1"/>
        <v>#NAME?</v>
      </c>
      <c r="F43" s="134" t="e">
        <f t="shared" ca="1" si="1"/>
        <v>#NAME?</v>
      </c>
      <c r="G43" s="190" t="e">
        <f ca="1"/>
        <v>#NAME?</v>
      </c>
      <c r="H43" s="191" t="e">
        <f ca="1"/>
        <v>#NAME?</v>
      </c>
      <c r="I43" s="134" t="e">
        <f t="shared" ca="1" si="0"/>
        <v>#NAME?</v>
      </c>
      <c r="J43" s="190" t="e">
        <f ca="1"/>
        <v>#NAME?</v>
      </c>
      <c r="K43" s="191" t="e">
        <f ca="1"/>
        <v>#NAME?</v>
      </c>
    </row>
    <row r="44" spans="1:11" x14ac:dyDescent="0.2">
      <c r="C44" s="134">
        <v>3.8</v>
      </c>
      <c r="D44" s="190" t="e">
        <f ca="1"/>
        <v>#NAME?</v>
      </c>
      <c r="E44" s="191" t="e">
        <f ca="1"/>
        <v>#NAME?</v>
      </c>
      <c r="F44" s="134" t="e">
        <f t="shared" ca="1" si="1"/>
        <v>#NAME?</v>
      </c>
      <c r="G44" s="190" t="e">
        <f ca="1"/>
        <v>#NAME?</v>
      </c>
      <c r="H44" s="191" t="e">
        <f ca="1"/>
        <v>#NAME?</v>
      </c>
      <c r="I44" s="134" t="e">
        <f t="shared" ca="1" si="0"/>
        <v>#NAME?</v>
      </c>
      <c r="J44" s="190" t="e">
        <f ca="1"/>
        <v>#NAME?</v>
      </c>
      <c r="K44" s="191" t="e">
        <f ca="1"/>
        <v>#NAME?</v>
      </c>
    </row>
    <row r="45" spans="1:11" x14ac:dyDescent="0.2">
      <c r="C45" s="134">
        <v>4</v>
      </c>
      <c r="D45" s="190" t="e">
        <f ca="1"/>
        <v>#NAME?</v>
      </c>
      <c r="E45" s="191" t="e">
        <f ca="1"/>
        <v>#NAME?</v>
      </c>
      <c r="F45" s="134" t="e">
        <f t="shared" ca="1" si="1"/>
        <v>#NAME?</v>
      </c>
      <c r="G45" s="190" t="e">
        <f ca="1"/>
        <v>#NAME?</v>
      </c>
      <c r="H45" s="191" t="e">
        <f ca="1"/>
        <v>#NAME?</v>
      </c>
      <c r="I45" s="134" t="e">
        <f t="shared" ca="1" si="0"/>
        <v>#NAME?</v>
      </c>
      <c r="J45" s="190" t="e">
        <f ca="1"/>
        <v>#NAME?</v>
      </c>
      <c r="K45" s="191" t="e">
        <f ca="1"/>
        <v>#NAME?</v>
      </c>
    </row>
    <row r="46" spans="1:11" x14ac:dyDescent="0.2">
      <c r="C46" s="134">
        <v>4.2</v>
      </c>
      <c r="D46" s="190" t="e">
        <f ca="1"/>
        <v>#NAME?</v>
      </c>
      <c r="E46" s="191" t="e">
        <f ca="1"/>
        <v>#NAME?</v>
      </c>
      <c r="F46" s="134" t="e">
        <f t="shared" ca="1" si="1"/>
        <v>#NAME?</v>
      </c>
      <c r="G46" s="190" t="e">
        <f ca="1"/>
        <v>#NAME?</v>
      </c>
      <c r="H46" s="191" t="e">
        <f ca="1"/>
        <v>#NAME?</v>
      </c>
      <c r="I46" s="134" t="e">
        <f t="shared" ca="1" si="0"/>
        <v>#NAME?</v>
      </c>
      <c r="J46" s="190" t="e">
        <f ca="1"/>
        <v>#NAME?</v>
      </c>
      <c r="K46" s="191" t="e">
        <f ca="1"/>
        <v>#NAME?</v>
      </c>
    </row>
    <row r="47" spans="1:11" x14ac:dyDescent="0.2">
      <c r="C47" s="134">
        <v>4.4000000000000004</v>
      </c>
      <c r="D47" s="190" t="e">
        <f ca="1"/>
        <v>#NAME?</v>
      </c>
      <c r="E47" s="191" t="e">
        <f ca="1"/>
        <v>#NAME?</v>
      </c>
      <c r="F47" s="134" t="e">
        <f t="shared" ca="1" si="1"/>
        <v>#NAME?</v>
      </c>
      <c r="G47" s="190" t="e">
        <f ca="1"/>
        <v>#NAME?</v>
      </c>
      <c r="H47" s="191" t="e">
        <f ca="1"/>
        <v>#NAME?</v>
      </c>
      <c r="I47" s="134" t="e">
        <f t="shared" ca="1" si="0"/>
        <v>#NAME?</v>
      </c>
      <c r="J47" s="190" t="e">
        <f ca="1"/>
        <v>#NAME?</v>
      </c>
      <c r="K47" s="191" t="e">
        <f ca="1"/>
        <v>#NAME?</v>
      </c>
    </row>
    <row r="48" spans="1:11" x14ac:dyDescent="0.2">
      <c r="C48" s="134">
        <v>4.5999999999999996</v>
      </c>
      <c r="D48" s="190" t="e">
        <f ca="1"/>
        <v>#NAME?</v>
      </c>
      <c r="E48" s="191" t="e">
        <f ca="1"/>
        <v>#NAME?</v>
      </c>
      <c r="F48" s="134" t="e">
        <f t="shared" ca="1" si="1"/>
        <v>#NAME?</v>
      </c>
      <c r="G48" s="190" t="e">
        <f ca="1"/>
        <v>#NAME?</v>
      </c>
      <c r="H48" s="191" t="e">
        <f ca="1"/>
        <v>#NAME?</v>
      </c>
      <c r="I48" s="134" t="e">
        <f t="shared" ca="1" si="0"/>
        <v>#NAME?</v>
      </c>
      <c r="J48" s="190" t="e">
        <f ca="1"/>
        <v>#NAME?</v>
      </c>
      <c r="K48" s="191" t="e">
        <f ca="1"/>
        <v>#NAME?</v>
      </c>
    </row>
    <row r="49" spans="1:11" x14ac:dyDescent="0.2">
      <c r="C49" s="134">
        <v>4.8</v>
      </c>
      <c r="D49" s="190" t="e">
        <f ca="1"/>
        <v>#NAME?</v>
      </c>
      <c r="E49" s="191" t="e">
        <f ca="1"/>
        <v>#NAME?</v>
      </c>
      <c r="F49" s="134" t="e">
        <f t="shared" ca="1" si="1"/>
        <v>#NAME?</v>
      </c>
      <c r="G49" s="190" t="e">
        <f ca="1"/>
        <v>#NAME?</v>
      </c>
      <c r="H49" s="191" t="e">
        <f ca="1"/>
        <v>#NAME?</v>
      </c>
      <c r="I49" s="134" t="e">
        <f t="shared" ca="1" si="0"/>
        <v>#NAME?</v>
      </c>
      <c r="J49" s="190" t="e">
        <f ca="1"/>
        <v>#NAME?</v>
      </c>
      <c r="K49" s="191" t="e">
        <f ca="1"/>
        <v>#NAME?</v>
      </c>
    </row>
    <row r="50" spans="1:11" x14ac:dyDescent="0.2">
      <c r="C50" s="134">
        <v>5</v>
      </c>
      <c r="D50" s="190" t="e">
        <f ca="1"/>
        <v>#NAME?</v>
      </c>
      <c r="E50" s="191" t="e">
        <f ca="1"/>
        <v>#NAME?</v>
      </c>
      <c r="F50" s="134" t="e">
        <f t="shared" ca="1" si="1"/>
        <v>#NAME?</v>
      </c>
      <c r="G50" s="190" t="e">
        <f ca="1"/>
        <v>#NAME?</v>
      </c>
      <c r="H50" s="191" t="e">
        <f ca="1"/>
        <v>#NAME?</v>
      </c>
      <c r="I50" s="134" t="e">
        <f t="shared" ca="1" si="0"/>
        <v>#NAME?</v>
      </c>
      <c r="J50" s="190" t="e">
        <f ca="1"/>
        <v>#NAME?</v>
      </c>
      <c r="K50" s="191" t="e">
        <f ca="1"/>
        <v>#NAME?</v>
      </c>
    </row>
    <row r="51" spans="1:11" x14ac:dyDescent="0.2">
      <c r="C51" s="187"/>
      <c r="D51" s="51"/>
      <c r="E51" s="53"/>
      <c r="F51" s="187"/>
      <c r="G51" s="51"/>
      <c r="H51" s="53"/>
      <c r="I51" s="187"/>
      <c r="J51" s="51"/>
      <c r="K51" s="53"/>
    </row>
    <row r="53" spans="1:11" ht="15" x14ac:dyDescent="0.25">
      <c r="A53" s="9" t="s">
        <v>225</v>
      </c>
    </row>
    <row r="54" spans="1:11" x14ac:dyDescent="0.2">
      <c r="A54" s="3" t="s">
        <v>238</v>
      </c>
      <c r="C54" t="s">
        <v>239</v>
      </c>
    </row>
    <row r="55" spans="1:11" x14ac:dyDescent="0.2">
      <c r="A55" s="3" t="s">
        <v>226</v>
      </c>
    </row>
    <row r="56" spans="1:11" x14ac:dyDescent="0.2">
      <c r="A56" s="10" t="s">
        <v>241</v>
      </c>
    </row>
    <row r="57" spans="1:11" ht="15" x14ac:dyDescent="0.25">
      <c r="A57" s="46" t="s">
        <v>5</v>
      </c>
    </row>
    <row r="58" spans="1:11" x14ac:dyDescent="0.2">
      <c r="A58" s="4" t="s">
        <v>227</v>
      </c>
      <c r="B58" s="4" t="s">
        <v>228</v>
      </c>
    </row>
    <row r="59" spans="1:11" x14ac:dyDescent="0.2">
      <c r="A59" s="6" t="s">
        <v>229</v>
      </c>
      <c r="B59" s="3" t="s">
        <v>230</v>
      </c>
    </row>
    <row r="60" spans="1:11" x14ac:dyDescent="0.2">
      <c r="A60" s="6" t="s">
        <v>231</v>
      </c>
      <c r="B60" s="6" t="s">
        <v>232</v>
      </c>
    </row>
    <row r="61" spans="1:11" x14ac:dyDescent="0.2">
      <c r="A61" s="3"/>
      <c r="B61" s="4"/>
    </row>
    <row r="62" spans="1:11" ht="15" x14ac:dyDescent="0.25">
      <c r="A62" s="9" t="s">
        <v>71</v>
      </c>
      <c r="B62" s="3"/>
    </row>
    <row r="63" spans="1:11" x14ac:dyDescent="0.2">
      <c r="A63" s="10" t="s">
        <v>233</v>
      </c>
    </row>
    <row r="64" spans="1:11" ht="13.5" thickBot="1" x14ac:dyDescent="0.25">
      <c r="A64" s="105" t="s">
        <v>234</v>
      </c>
      <c r="B64" s="105"/>
      <c r="C64" s="105"/>
    </row>
    <row r="65" spans="1:10" ht="13.5" thickBot="1" x14ac:dyDescent="0.25">
      <c r="A65" s="1" t="s">
        <v>88</v>
      </c>
      <c r="B65" s="13" t="s">
        <v>24</v>
      </c>
      <c r="C65" s="2" t="s">
        <v>25</v>
      </c>
    </row>
    <row r="66" spans="1:10" x14ac:dyDescent="0.2">
      <c r="A66" s="133">
        <v>0</v>
      </c>
      <c r="B66" s="188" t="e">
        <f t="array" aca="1" ref="B66:C86" ca="1">chartsplinea(A66:A86,,"Chart 4")</f>
        <v>#NAME?</v>
      </c>
      <c r="C66" s="189" t="e">
        <f ca="1"/>
        <v>#NAME?</v>
      </c>
      <c r="D66" s="7"/>
      <c r="E66" s="7"/>
      <c r="F66" s="24"/>
      <c r="G66" s="24"/>
      <c r="J66" s="24"/>
    </row>
    <row r="67" spans="1:10" x14ac:dyDescent="0.2">
      <c r="A67" s="134">
        <v>0.2</v>
      </c>
      <c r="B67" s="190" t="e">
        <f ca="1"/>
        <v>#NAME?</v>
      </c>
      <c r="C67" s="191" t="e">
        <f ca="1"/>
        <v>#NAME?</v>
      </c>
      <c r="D67" s="7"/>
      <c r="E67" s="7"/>
      <c r="F67" s="24"/>
      <c r="G67" s="24"/>
      <c r="J67" s="24"/>
    </row>
    <row r="68" spans="1:10" x14ac:dyDescent="0.2">
      <c r="A68" s="134">
        <v>0.4</v>
      </c>
      <c r="B68" s="190" t="e">
        <f ca="1"/>
        <v>#NAME?</v>
      </c>
      <c r="C68" s="191" t="e">
        <f ca="1"/>
        <v>#NAME?</v>
      </c>
      <c r="D68" s="7"/>
      <c r="E68" s="7"/>
      <c r="F68" s="24"/>
      <c r="G68" s="24"/>
      <c r="J68" s="24"/>
    </row>
    <row r="69" spans="1:10" x14ac:dyDescent="0.2">
      <c r="A69" s="134">
        <v>0.6</v>
      </c>
      <c r="B69" s="190" t="e">
        <f ca="1"/>
        <v>#NAME?</v>
      </c>
      <c r="C69" s="191" t="e">
        <f ca="1"/>
        <v>#NAME?</v>
      </c>
      <c r="D69" s="7"/>
      <c r="E69" s="7"/>
      <c r="F69" s="24"/>
      <c r="G69" s="24"/>
      <c r="J69" s="24"/>
    </row>
    <row r="70" spans="1:10" x14ac:dyDescent="0.2">
      <c r="A70" s="134">
        <v>0.8</v>
      </c>
      <c r="B70" s="190" t="e">
        <f ca="1"/>
        <v>#NAME?</v>
      </c>
      <c r="C70" s="191" t="e">
        <f ca="1"/>
        <v>#NAME?</v>
      </c>
      <c r="D70" s="7"/>
      <c r="E70" s="7"/>
      <c r="F70" s="24"/>
      <c r="G70" s="24"/>
      <c r="J70" s="24"/>
    </row>
    <row r="71" spans="1:10" x14ac:dyDescent="0.2">
      <c r="A71" s="134">
        <v>1</v>
      </c>
      <c r="B71" s="190" t="e">
        <f ca="1"/>
        <v>#NAME?</v>
      </c>
      <c r="C71" s="191" t="e">
        <f ca="1"/>
        <v>#NAME?</v>
      </c>
      <c r="D71" s="7"/>
      <c r="E71" s="7"/>
      <c r="F71" s="24"/>
      <c r="G71" s="24"/>
      <c r="J71" s="24"/>
    </row>
    <row r="72" spans="1:10" x14ac:dyDescent="0.2">
      <c r="A72" s="134">
        <v>1.2</v>
      </c>
      <c r="B72" s="190" t="e">
        <f ca="1"/>
        <v>#NAME?</v>
      </c>
      <c r="C72" s="191" t="e">
        <f ca="1"/>
        <v>#NAME?</v>
      </c>
      <c r="D72" s="7"/>
      <c r="E72" s="7"/>
      <c r="F72" s="24"/>
      <c r="G72" s="24"/>
      <c r="J72" s="24"/>
    </row>
    <row r="73" spans="1:10" x14ac:dyDescent="0.2">
      <c r="A73" s="134">
        <v>1.4</v>
      </c>
      <c r="B73" s="190" t="e">
        <f ca="1"/>
        <v>#NAME?</v>
      </c>
      <c r="C73" s="191" t="e">
        <f ca="1"/>
        <v>#NAME?</v>
      </c>
      <c r="D73" s="7"/>
      <c r="E73" s="7"/>
      <c r="F73" s="24"/>
      <c r="G73" s="24"/>
      <c r="J73" s="24"/>
    </row>
    <row r="74" spans="1:10" x14ac:dyDescent="0.2">
      <c r="A74" s="134">
        <v>1.6</v>
      </c>
      <c r="B74" s="190" t="e">
        <f ca="1"/>
        <v>#NAME?</v>
      </c>
      <c r="C74" s="191" t="e">
        <f ca="1"/>
        <v>#NAME?</v>
      </c>
      <c r="D74" s="7"/>
      <c r="E74" s="7"/>
      <c r="F74" s="24"/>
      <c r="G74" s="24"/>
      <c r="J74" s="24"/>
    </row>
    <row r="75" spans="1:10" x14ac:dyDescent="0.2">
      <c r="A75" s="134">
        <v>1.8</v>
      </c>
      <c r="B75" s="190" t="e">
        <f ca="1"/>
        <v>#NAME?</v>
      </c>
      <c r="C75" s="191" t="e">
        <f ca="1"/>
        <v>#NAME?</v>
      </c>
      <c r="D75" s="7"/>
      <c r="E75" s="7"/>
      <c r="F75" s="24"/>
      <c r="G75" s="24"/>
      <c r="J75" s="24"/>
    </row>
    <row r="76" spans="1:10" x14ac:dyDescent="0.2">
      <c r="A76" s="134">
        <v>2</v>
      </c>
      <c r="B76" s="190" t="e">
        <f ca="1"/>
        <v>#NAME?</v>
      </c>
      <c r="C76" s="191" t="e">
        <f ca="1"/>
        <v>#NAME?</v>
      </c>
      <c r="D76" s="7"/>
      <c r="E76" s="7"/>
      <c r="F76" s="24"/>
      <c r="G76" s="24"/>
      <c r="J76" s="24"/>
    </row>
    <row r="77" spans="1:10" x14ac:dyDescent="0.2">
      <c r="A77" s="134">
        <v>2.2000000000000002</v>
      </c>
      <c r="B77" s="190" t="e">
        <f ca="1"/>
        <v>#NAME?</v>
      </c>
      <c r="C77" s="191" t="e">
        <f ca="1"/>
        <v>#NAME?</v>
      </c>
      <c r="D77" s="7"/>
      <c r="E77" s="7"/>
      <c r="F77" s="24"/>
      <c r="G77" s="24"/>
      <c r="J77" s="24"/>
    </row>
    <row r="78" spans="1:10" x14ac:dyDescent="0.2">
      <c r="A78" s="134">
        <v>2.4</v>
      </c>
      <c r="B78" s="190" t="e">
        <f ca="1"/>
        <v>#NAME?</v>
      </c>
      <c r="C78" s="191" t="e">
        <f ca="1"/>
        <v>#NAME?</v>
      </c>
      <c r="D78" s="7"/>
      <c r="E78" s="7"/>
      <c r="F78" s="24"/>
      <c r="G78" s="24"/>
      <c r="J78" s="24"/>
    </row>
    <row r="79" spans="1:10" x14ac:dyDescent="0.2">
      <c r="A79" s="134">
        <v>2.6</v>
      </c>
      <c r="B79" s="190" t="e">
        <f ca="1"/>
        <v>#NAME?</v>
      </c>
      <c r="C79" s="191" t="e">
        <f ca="1"/>
        <v>#NAME?</v>
      </c>
      <c r="D79" s="7"/>
      <c r="E79" s="7"/>
      <c r="F79" s="24"/>
      <c r="G79" s="24"/>
      <c r="J79" s="24"/>
    </row>
    <row r="80" spans="1:10" x14ac:dyDescent="0.2">
      <c r="A80" s="134">
        <v>2.8</v>
      </c>
      <c r="B80" s="190" t="e">
        <f ca="1"/>
        <v>#NAME?</v>
      </c>
      <c r="C80" s="191" t="e">
        <f ca="1"/>
        <v>#NAME?</v>
      </c>
      <c r="D80" s="7"/>
      <c r="E80" s="7"/>
      <c r="F80" s="24"/>
      <c r="G80" s="24"/>
      <c r="J80" s="24"/>
    </row>
    <row r="81" spans="1:10" x14ac:dyDescent="0.2">
      <c r="A81" s="134">
        <v>3</v>
      </c>
      <c r="B81" s="190" t="e">
        <f ca="1"/>
        <v>#NAME?</v>
      </c>
      <c r="C81" s="191" t="e">
        <f ca="1"/>
        <v>#NAME?</v>
      </c>
      <c r="D81" s="7"/>
      <c r="E81" s="7"/>
      <c r="F81" s="24"/>
      <c r="G81" s="24"/>
      <c r="J81" s="24"/>
    </row>
    <row r="82" spans="1:10" x14ac:dyDescent="0.2">
      <c r="A82" s="134">
        <v>3.2</v>
      </c>
      <c r="B82" s="190" t="e">
        <f ca="1"/>
        <v>#NAME?</v>
      </c>
      <c r="C82" s="191" t="e">
        <f ca="1"/>
        <v>#NAME?</v>
      </c>
      <c r="D82" s="7"/>
      <c r="E82" s="7"/>
      <c r="F82" s="24"/>
      <c r="G82" s="24"/>
      <c r="J82" s="24"/>
    </row>
    <row r="83" spans="1:10" x14ac:dyDescent="0.2">
      <c r="A83" s="134">
        <v>3.4</v>
      </c>
      <c r="B83" s="190" t="e">
        <f ca="1"/>
        <v>#NAME?</v>
      </c>
      <c r="C83" s="191" t="e">
        <f ca="1"/>
        <v>#NAME?</v>
      </c>
      <c r="D83" s="7"/>
      <c r="E83" s="7"/>
      <c r="F83" s="24"/>
      <c r="G83" s="24"/>
      <c r="J83" s="24"/>
    </row>
    <row r="84" spans="1:10" x14ac:dyDescent="0.2">
      <c r="A84" s="134">
        <v>3.6</v>
      </c>
      <c r="B84" s="190" t="e">
        <f ca="1"/>
        <v>#NAME?</v>
      </c>
      <c r="C84" s="191" t="e">
        <f ca="1"/>
        <v>#NAME?</v>
      </c>
      <c r="D84" s="7"/>
      <c r="E84" s="7"/>
      <c r="F84" s="24"/>
      <c r="G84" s="24"/>
      <c r="J84" s="24"/>
    </row>
    <row r="85" spans="1:10" x14ac:dyDescent="0.2">
      <c r="A85" s="134">
        <v>3.8</v>
      </c>
      <c r="B85" s="190" t="e">
        <f ca="1"/>
        <v>#NAME?</v>
      </c>
      <c r="C85" s="191" t="e">
        <f ca="1"/>
        <v>#NAME?</v>
      </c>
      <c r="D85" s="7"/>
      <c r="E85" s="7"/>
      <c r="F85" s="24"/>
      <c r="G85" s="24"/>
      <c r="J85" s="24"/>
    </row>
    <row r="86" spans="1:10" x14ac:dyDescent="0.2">
      <c r="A86" s="134">
        <v>4</v>
      </c>
      <c r="B86" s="190" t="e">
        <f ca="1"/>
        <v>#NAME?</v>
      </c>
      <c r="C86" s="191" t="e">
        <f ca="1"/>
        <v>#NAME?</v>
      </c>
      <c r="D86" s="7"/>
      <c r="E86" s="7"/>
      <c r="F86" s="24"/>
      <c r="G86" s="24"/>
      <c r="J86" s="24"/>
    </row>
    <row r="87" spans="1:10" x14ac:dyDescent="0.2">
      <c r="A87" s="187"/>
      <c r="B87" s="51"/>
      <c r="C87" s="53"/>
      <c r="D87" s="7"/>
      <c r="E87" s="7"/>
      <c r="J87" s="24"/>
    </row>
    <row r="88" spans="1:10" x14ac:dyDescent="0.2">
      <c r="D88" s="7"/>
      <c r="E88" s="7"/>
      <c r="J88" s="24"/>
    </row>
    <row r="89" spans="1:10" x14ac:dyDescent="0.2">
      <c r="D89" s="7"/>
      <c r="E89" s="7"/>
      <c r="J89" s="24"/>
    </row>
    <row r="90" spans="1:10" x14ac:dyDescent="0.2">
      <c r="D90" s="7"/>
      <c r="E90" s="7"/>
      <c r="J90" s="24"/>
    </row>
    <row r="91" spans="1:10" x14ac:dyDescent="0.2">
      <c r="D91" s="7"/>
      <c r="E91" s="7"/>
      <c r="J91" s="24"/>
    </row>
    <row r="92" spans="1:10" x14ac:dyDescent="0.2">
      <c r="D92" s="7"/>
      <c r="E92" s="7"/>
      <c r="J92" s="24"/>
    </row>
    <row r="93" spans="1:10" x14ac:dyDescent="0.2">
      <c r="D93" s="7"/>
      <c r="E93" s="7"/>
      <c r="J93" s="24"/>
    </row>
    <row r="94" spans="1:10" x14ac:dyDescent="0.2">
      <c r="D94" s="7"/>
      <c r="E94" s="7"/>
      <c r="J94" s="24"/>
    </row>
    <row r="95" spans="1:10" x14ac:dyDescent="0.2">
      <c r="D95" s="7"/>
      <c r="E95" s="7"/>
      <c r="J95" s="24"/>
    </row>
    <row r="96" spans="1:10" x14ac:dyDescent="0.2">
      <c r="D96" s="7"/>
      <c r="E96" s="7"/>
      <c r="J96" s="24"/>
    </row>
    <row r="97" spans="4:16" x14ac:dyDescent="0.2">
      <c r="D97" s="7"/>
      <c r="E97" s="7"/>
    </row>
    <row r="98" spans="4:16" x14ac:dyDescent="0.2">
      <c r="D98" s="7"/>
      <c r="E98" s="7"/>
    </row>
    <row r="99" spans="4:16" x14ac:dyDescent="0.2">
      <c r="D99" s="7"/>
      <c r="E99" s="7"/>
    </row>
    <row r="100" spans="4:16" x14ac:dyDescent="0.2">
      <c r="D100" s="7"/>
      <c r="E100" s="7"/>
    </row>
    <row r="101" spans="4:16" x14ac:dyDescent="0.2">
      <c r="D101" s="7"/>
      <c r="E101" s="7"/>
    </row>
    <row r="102" spans="4:16" x14ac:dyDescent="0.2">
      <c r="D102" s="7"/>
      <c r="E102" s="7"/>
    </row>
    <row r="103" spans="4:16" x14ac:dyDescent="0.2">
      <c r="D103" s="7"/>
      <c r="E103" s="7"/>
    </row>
    <row r="104" spans="4:16" x14ac:dyDescent="0.2">
      <c r="D104" s="7"/>
      <c r="E104" s="7"/>
    </row>
    <row r="105" spans="4:16" x14ac:dyDescent="0.2">
      <c r="D105" s="7"/>
      <c r="E105" s="7"/>
    </row>
    <row r="106" spans="4:16" x14ac:dyDescent="0.2">
      <c r="D106" s="7"/>
      <c r="E106" s="7"/>
    </row>
    <row r="107" spans="4:16" x14ac:dyDescent="0.2">
      <c r="P107" s="3"/>
    </row>
    <row r="112" spans="4:16" x14ac:dyDescent="0.2">
      <c r="P112" s="3"/>
    </row>
  </sheetData>
  <mergeCells count="2">
    <mergeCell ref="B21:C21"/>
    <mergeCell ref="A28:B2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67"/>
  <sheetViews>
    <sheetView workbookViewId="0">
      <selection activeCell="E37" sqref="E37"/>
    </sheetView>
  </sheetViews>
  <sheetFormatPr defaultRowHeight="12.75" x14ac:dyDescent="0.2"/>
  <cols>
    <col min="5" max="5" width="10" bestFit="1" customWidth="1"/>
    <col min="6" max="6" width="4.140625" customWidth="1"/>
    <col min="8" max="8" width="5.28515625" customWidth="1"/>
  </cols>
  <sheetData>
    <row r="1" spans="1:1" x14ac:dyDescent="0.2">
      <c r="A1" s="10" t="s">
        <v>72</v>
      </c>
    </row>
    <row r="3" spans="1:1" x14ac:dyDescent="0.2">
      <c r="A3" s="4" t="s">
        <v>138</v>
      </c>
    </row>
    <row r="4" spans="1:1" x14ac:dyDescent="0.2">
      <c r="A4" s="4" t="s">
        <v>139</v>
      </c>
    </row>
    <row r="5" spans="1:1" x14ac:dyDescent="0.2">
      <c r="A5" s="4" t="s">
        <v>158</v>
      </c>
    </row>
    <row r="7" spans="1:1" x14ac:dyDescent="0.2">
      <c r="A7" s="3" t="s">
        <v>73</v>
      </c>
    </row>
    <row r="8" spans="1:1" x14ac:dyDescent="0.2">
      <c r="A8" s="4" t="s">
        <v>140</v>
      </c>
    </row>
    <row r="9" spans="1:1" x14ac:dyDescent="0.2">
      <c r="A9" s="4" t="s">
        <v>141</v>
      </c>
    </row>
    <row r="10" spans="1:1" x14ac:dyDescent="0.2">
      <c r="A10" s="4" t="s">
        <v>142</v>
      </c>
    </row>
    <row r="11" spans="1:1" x14ac:dyDescent="0.2">
      <c r="A11" s="4" t="s">
        <v>143</v>
      </c>
    </row>
    <row r="12" spans="1:1" x14ac:dyDescent="0.2">
      <c r="A12" s="6" t="s">
        <v>74</v>
      </c>
    </row>
    <row r="13" spans="1:1" x14ac:dyDescent="0.2">
      <c r="A13" s="6" t="s">
        <v>144</v>
      </c>
    </row>
    <row r="14" spans="1:1" x14ac:dyDescent="0.2">
      <c r="A14" s="6" t="s">
        <v>145</v>
      </c>
    </row>
    <row r="15" spans="1:1" x14ac:dyDescent="0.2">
      <c r="A15" s="4" t="s">
        <v>154</v>
      </c>
    </row>
    <row r="17" spans="1:7" x14ac:dyDescent="0.2">
      <c r="A17" s="4" t="s">
        <v>75</v>
      </c>
    </row>
    <row r="19" spans="1:7" x14ac:dyDescent="0.2">
      <c r="A19" s="3" t="s">
        <v>76</v>
      </c>
    </row>
    <row r="20" spans="1:7" x14ac:dyDescent="0.2">
      <c r="A20" s="4" t="s">
        <v>155</v>
      </c>
    </row>
    <row r="21" spans="1:7" x14ac:dyDescent="0.2">
      <c r="A21" s="4" t="s">
        <v>146</v>
      </c>
    </row>
    <row r="22" spans="1:7" x14ac:dyDescent="0.2">
      <c r="A22" s="6" t="s">
        <v>78</v>
      </c>
    </row>
    <row r="24" spans="1:7" x14ac:dyDescent="0.2">
      <c r="A24" s="3" t="s">
        <v>79</v>
      </c>
      <c r="D24" s="3" t="s">
        <v>80</v>
      </c>
      <c r="E24" s="4" t="s">
        <v>147</v>
      </c>
      <c r="F24" s="3"/>
      <c r="G24" s="4" t="s">
        <v>82</v>
      </c>
    </row>
    <row r="25" spans="1:7" x14ac:dyDescent="0.2">
      <c r="A25" s="4" t="s">
        <v>148</v>
      </c>
      <c r="B25" s="4" t="s">
        <v>149</v>
      </c>
      <c r="C25" s="4"/>
      <c r="D25" s="4" t="s">
        <v>156</v>
      </c>
      <c r="E25" s="4" t="s">
        <v>150</v>
      </c>
      <c r="F25" s="104" t="s">
        <v>81</v>
      </c>
      <c r="G25" s="4" t="s">
        <v>159</v>
      </c>
    </row>
    <row r="26" spans="1:7" x14ac:dyDescent="0.2">
      <c r="A26" s="3" t="s">
        <v>79</v>
      </c>
      <c r="D26" s="3" t="s">
        <v>80</v>
      </c>
      <c r="E26" s="4" t="s">
        <v>151</v>
      </c>
      <c r="F26" s="4"/>
      <c r="G26" s="4" t="s">
        <v>82</v>
      </c>
    </row>
    <row r="28" spans="1:7" x14ac:dyDescent="0.2">
      <c r="A28" s="6" t="s">
        <v>77</v>
      </c>
    </row>
    <row r="29" spans="1:7" x14ac:dyDescent="0.2">
      <c r="A29" s="3" t="s">
        <v>83</v>
      </c>
    </row>
    <row r="30" spans="1:7" x14ac:dyDescent="0.2">
      <c r="A30" s="3" t="s">
        <v>84</v>
      </c>
    </row>
    <row r="31" spans="1:7" x14ac:dyDescent="0.2">
      <c r="A31" s="3" t="s">
        <v>85</v>
      </c>
    </row>
    <row r="33" spans="1:16" x14ac:dyDescent="0.2">
      <c r="A33" s="3" t="s">
        <v>86</v>
      </c>
      <c r="D33" s="24"/>
    </row>
    <row r="35" spans="1:16" x14ac:dyDescent="0.2">
      <c r="A35" s="3" t="s">
        <v>87</v>
      </c>
      <c r="D35" s="3"/>
    </row>
    <row r="36" spans="1:16" ht="13.5" thickBot="1" x14ac:dyDescent="0.25">
      <c r="B36" s="104" t="s">
        <v>24</v>
      </c>
      <c r="C36" s="104" t="s">
        <v>25</v>
      </c>
      <c r="D36" s="105" t="s">
        <v>88</v>
      </c>
      <c r="E36" s="105" t="s">
        <v>89</v>
      </c>
      <c r="F36" s="3"/>
    </row>
    <row r="37" spans="1:16" x14ac:dyDescent="0.2">
      <c r="B37" s="18">
        <v>1</v>
      </c>
      <c r="C37" s="16">
        <v>0.75</v>
      </c>
      <c r="D37">
        <f>+B38-B37</f>
        <v>1</v>
      </c>
      <c r="E37">
        <f>+(C38-C37)/D37</f>
        <v>-0.75</v>
      </c>
    </row>
    <row r="38" spans="1:16" x14ac:dyDescent="0.2">
      <c r="B38" s="19">
        <v>2</v>
      </c>
      <c r="C38" s="17">
        <v>0</v>
      </c>
      <c r="D38">
        <f>+B39-B38</f>
        <v>1</v>
      </c>
      <c r="E38">
        <f>+(C39-C38)/D38</f>
        <v>-1</v>
      </c>
    </row>
    <row r="39" spans="1:16" x14ac:dyDescent="0.2">
      <c r="B39" s="19">
        <v>3</v>
      </c>
      <c r="C39" s="17">
        <v>-1</v>
      </c>
      <c r="D39">
        <f>+B40-B39</f>
        <v>1</v>
      </c>
      <c r="E39">
        <f>+(C40-C39)/D39</f>
        <v>4</v>
      </c>
    </row>
    <row r="40" spans="1:16" x14ac:dyDescent="0.2">
      <c r="B40" s="19">
        <v>4</v>
      </c>
      <c r="C40" s="17">
        <v>3</v>
      </c>
      <c r="D40">
        <f>+B41-B40</f>
        <v>1</v>
      </c>
      <c r="E40">
        <f>+(C41-C40)/D40</f>
        <v>-1</v>
      </c>
    </row>
    <row r="41" spans="1:16" x14ac:dyDescent="0.2">
      <c r="B41" s="19">
        <v>5</v>
      </c>
      <c r="C41" s="17">
        <v>2</v>
      </c>
    </row>
    <row r="43" spans="1:16" ht="13.5" thickBot="1" x14ac:dyDescent="0.25">
      <c r="A43" s="3" t="s">
        <v>90</v>
      </c>
      <c r="G43" s="104" t="s">
        <v>3</v>
      </c>
      <c r="I43" s="4" t="s">
        <v>152</v>
      </c>
      <c r="K43" s="4" t="s">
        <v>96</v>
      </c>
      <c r="P43" s="105" t="s">
        <v>3</v>
      </c>
    </row>
    <row r="44" spans="1:16" x14ac:dyDescent="0.2">
      <c r="A44" s="66">
        <v>1</v>
      </c>
      <c r="B44" s="67">
        <v>0</v>
      </c>
      <c r="C44" s="67">
        <v>0</v>
      </c>
      <c r="D44" s="67">
        <v>0</v>
      </c>
      <c r="E44" s="146">
        <v>0</v>
      </c>
      <c r="G44" s="148">
        <v>0</v>
      </c>
      <c r="I44" s="151">
        <v>0</v>
      </c>
      <c r="K44" s="66">
        <f t="array" ref="K44:O48">MINVERSE(A44:E48)</f>
        <v>1</v>
      </c>
      <c r="L44" s="67">
        <v>0</v>
      </c>
      <c r="M44" s="67">
        <v>0</v>
      </c>
      <c r="N44" s="67">
        <v>0</v>
      </c>
      <c r="O44" s="146">
        <v>0</v>
      </c>
      <c r="P44" s="151">
        <f t="array" ref="P44:P48">MMULT(K44:O48,I44:I48)</f>
        <v>0</v>
      </c>
    </row>
    <row r="45" spans="1:16" x14ac:dyDescent="0.2">
      <c r="A45" s="11">
        <f>+$D$37</f>
        <v>1</v>
      </c>
      <c r="B45" s="26">
        <f>2*($D$37+$D$38)</f>
        <v>4</v>
      </c>
      <c r="C45" s="26">
        <f>+$D$38</f>
        <v>1</v>
      </c>
      <c r="D45" s="26">
        <v>0</v>
      </c>
      <c r="E45" s="147">
        <v>0</v>
      </c>
      <c r="G45" s="149" t="s">
        <v>92</v>
      </c>
      <c r="I45" s="152">
        <f>6*($E$38-$E$37)</f>
        <v>-1.5</v>
      </c>
      <c r="K45" s="11">
        <v>-0.26785714285714285</v>
      </c>
      <c r="L45" s="26">
        <v>0.26785714285714285</v>
      </c>
      <c r="M45" s="26">
        <v>-7.1428571428571425E-2</v>
      </c>
      <c r="N45" s="26">
        <v>1.7857142857142856E-2</v>
      </c>
      <c r="O45" s="147">
        <v>-1.7857142857142856E-2</v>
      </c>
      <c r="P45" s="152">
        <v>-3.0803571428571428</v>
      </c>
    </row>
    <row r="46" spans="1:16" ht="15" x14ac:dyDescent="0.25">
      <c r="A46" s="11">
        <v>0</v>
      </c>
      <c r="B46" s="26">
        <f>+$D$38</f>
        <v>1</v>
      </c>
      <c r="C46" s="26">
        <f>2*($D$38+$D$39)</f>
        <v>4</v>
      </c>
      <c r="D46" s="26">
        <f>+$D$39</f>
        <v>1</v>
      </c>
      <c r="E46" s="147">
        <v>0</v>
      </c>
      <c r="F46" s="154" t="s">
        <v>24</v>
      </c>
      <c r="G46" s="149" t="s">
        <v>93</v>
      </c>
      <c r="H46" s="155" t="s">
        <v>81</v>
      </c>
      <c r="I46" s="152">
        <f>6*($E$39-$E$38)</f>
        <v>30</v>
      </c>
      <c r="K46" s="11">
        <v>7.1428571428571425E-2</v>
      </c>
      <c r="L46" s="26">
        <v>-7.1428571428571425E-2</v>
      </c>
      <c r="M46" s="26">
        <v>0.2857142857142857</v>
      </c>
      <c r="N46" s="26">
        <v>-7.1428571428571425E-2</v>
      </c>
      <c r="O46" s="147">
        <v>7.1428571428571425E-2</v>
      </c>
      <c r="P46" s="152">
        <v>10.821428571428571</v>
      </c>
    </row>
    <row r="47" spans="1:16" x14ac:dyDescent="0.2">
      <c r="A47" s="11">
        <v>0</v>
      </c>
      <c r="B47" s="26">
        <v>0</v>
      </c>
      <c r="C47" s="26">
        <f>+$D$39</f>
        <v>1</v>
      </c>
      <c r="D47" s="26">
        <f>2*($D$39+$D$40)</f>
        <v>4</v>
      </c>
      <c r="E47" s="147">
        <f>+$D$40</f>
        <v>1</v>
      </c>
      <c r="G47" s="149" t="s">
        <v>94</v>
      </c>
      <c r="I47" s="152">
        <f>6*($E$40-$E$39)</f>
        <v>-30</v>
      </c>
      <c r="K47" s="11">
        <v>-1.7857142857142856E-2</v>
      </c>
      <c r="L47" s="26">
        <v>1.7857142857142856E-2</v>
      </c>
      <c r="M47" s="26">
        <v>-7.1428571428571425E-2</v>
      </c>
      <c r="N47" s="26">
        <v>0.26785714285714285</v>
      </c>
      <c r="O47" s="147">
        <v>-0.26785714285714285</v>
      </c>
      <c r="P47" s="152">
        <v>-10.205357142857142</v>
      </c>
    </row>
    <row r="48" spans="1:16" ht="13.5" thickBot="1" x14ac:dyDescent="0.25">
      <c r="A48" s="12">
        <v>0</v>
      </c>
      <c r="B48" s="27">
        <v>0</v>
      </c>
      <c r="C48" s="27">
        <v>0</v>
      </c>
      <c r="D48" s="27">
        <v>0</v>
      </c>
      <c r="E48" s="70">
        <v>1</v>
      </c>
      <c r="G48" s="150">
        <v>0</v>
      </c>
      <c r="I48" s="153">
        <v>0</v>
      </c>
      <c r="K48" s="12">
        <v>0</v>
      </c>
      <c r="L48" s="27">
        <v>0</v>
      </c>
      <c r="M48" s="27">
        <v>0</v>
      </c>
      <c r="N48" s="27">
        <v>0</v>
      </c>
      <c r="O48" s="70">
        <v>1</v>
      </c>
      <c r="P48" s="153">
        <v>0</v>
      </c>
    </row>
    <row r="49" spans="1:16" ht="13.5" thickBot="1" x14ac:dyDescent="0.25"/>
    <row r="50" spans="1:16" x14ac:dyDescent="0.2">
      <c r="A50" s="156" t="s">
        <v>125</v>
      </c>
      <c r="B50" s="157" t="s">
        <v>98</v>
      </c>
      <c r="C50" s="157" t="s">
        <v>0</v>
      </c>
      <c r="D50" s="157" t="s">
        <v>3</v>
      </c>
      <c r="E50" s="158" t="s">
        <v>2</v>
      </c>
      <c r="G50" s="164" t="s">
        <v>157</v>
      </c>
      <c r="H50" s="104"/>
      <c r="I50" s="164" t="s">
        <v>153</v>
      </c>
    </row>
    <row r="51" spans="1:16" x14ac:dyDescent="0.2">
      <c r="A51" s="159">
        <f>+B37</f>
        <v>1</v>
      </c>
      <c r="B51" s="59">
        <f>+$C$37</f>
        <v>0.75</v>
      </c>
      <c r="C51" s="59">
        <f>$E$37-($D$37/6)*(2*P44+P45)</f>
        <v>-0.2366071428571429</v>
      </c>
      <c r="D51" s="59">
        <f>+P44/2</f>
        <v>0</v>
      </c>
      <c r="E51" s="160">
        <f>+(P45-P44)/(6*$D$37)</f>
        <v>-0.5133928571428571</v>
      </c>
      <c r="G51" s="152">
        <f>+$D$37/2</f>
        <v>0.5</v>
      </c>
      <c r="I51" s="165">
        <f>+B51+C51*G51+D51*G51^2+E51*G51^3</f>
        <v>0.56752232142857151</v>
      </c>
      <c r="J51" s="106"/>
    </row>
    <row r="52" spans="1:16" x14ac:dyDescent="0.2">
      <c r="A52" s="159">
        <f>+B38</f>
        <v>2</v>
      </c>
      <c r="B52" s="59">
        <f>+$C$38</f>
        <v>0</v>
      </c>
      <c r="C52" s="59">
        <f>$E$38-($D$38/6)*(2*P45+P46)</f>
        <v>-1.7767857142857142</v>
      </c>
      <c r="D52" s="59">
        <f>+P45/2</f>
        <v>-1.5401785714285714</v>
      </c>
      <c r="E52" s="160">
        <f>+(P46-P45)/(6*$D$38)</f>
        <v>2.3169642857142856</v>
      </c>
      <c r="G52" s="152">
        <f>+$D$38/2</f>
        <v>0.5</v>
      </c>
      <c r="I52" s="165">
        <f>+B52+C52*G52+D52*G52^2+E52*G52^3</f>
        <v>-0.9838169642857143</v>
      </c>
      <c r="J52" s="106"/>
    </row>
    <row r="53" spans="1:16" x14ac:dyDescent="0.2">
      <c r="A53" s="159">
        <f>+B39</f>
        <v>3</v>
      </c>
      <c r="B53" s="59">
        <f>+$C$39</f>
        <v>-1</v>
      </c>
      <c r="C53" s="59">
        <f>$E$39-($D$39/6)*(2*P46+P47)</f>
        <v>2.09375</v>
      </c>
      <c r="D53" s="59">
        <f>+P46/2</f>
        <v>5.4107142857142856</v>
      </c>
      <c r="E53" s="160">
        <f>+(P47-P46)/(6*$D$39)</f>
        <v>-3.504464285714286</v>
      </c>
      <c r="G53" s="152">
        <f>+$D$39/2</f>
        <v>0.5</v>
      </c>
      <c r="I53" s="165">
        <f>+B53+C53*G53+D53*G53^2+E53*G53^3</f>
        <v>0.96149553571428559</v>
      </c>
      <c r="J53" s="106"/>
    </row>
    <row r="54" spans="1:16" ht="13.5" thickBot="1" x14ac:dyDescent="0.25">
      <c r="A54" s="161">
        <f>+B40</f>
        <v>4</v>
      </c>
      <c r="B54" s="162">
        <f>+$C$40</f>
        <v>3</v>
      </c>
      <c r="C54" s="162">
        <f>$E$40-($D$40/6)*(2*P47+P48)</f>
        <v>2.401785714285714</v>
      </c>
      <c r="D54" s="162">
        <f>+P47/2</f>
        <v>-5.1026785714285712</v>
      </c>
      <c r="E54" s="163">
        <f>+(P48-P47)/(6*$D$40)</f>
        <v>1.700892857142857</v>
      </c>
      <c r="G54" s="153">
        <f>+$D$40/2</f>
        <v>0.5</v>
      </c>
      <c r="I54" s="166">
        <f>+B54+C54*G54+D54*G54^2+E54*G54^3</f>
        <v>3.1378348214285712</v>
      </c>
      <c r="J54" s="106"/>
    </row>
    <row r="57" spans="1:16" ht="13.5" thickBot="1" x14ac:dyDescent="0.25">
      <c r="A57" s="4" t="s">
        <v>101</v>
      </c>
      <c r="G57" s="104" t="s">
        <v>3</v>
      </c>
      <c r="H57" s="104"/>
      <c r="I57" s="4" t="s">
        <v>152</v>
      </c>
      <c r="K57" s="4" t="s">
        <v>96</v>
      </c>
      <c r="P57" s="105" t="s">
        <v>3</v>
      </c>
    </row>
    <row r="58" spans="1:16" x14ac:dyDescent="0.2">
      <c r="A58" s="66">
        <v>1</v>
      </c>
      <c r="B58" s="67">
        <v>0</v>
      </c>
      <c r="C58" s="67">
        <v>0</v>
      </c>
      <c r="D58" s="67">
        <v>0</v>
      </c>
      <c r="E58" s="146">
        <v>0</v>
      </c>
      <c r="G58" s="148">
        <v>0</v>
      </c>
      <c r="I58" s="151">
        <v>1</v>
      </c>
      <c r="K58" s="66">
        <f t="array" ref="K58:O62">MINVERSE(A58:E62)</f>
        <v>1</v>
      </c>
      <c r="L58" s="67">
        <v>0</v>
      </c>
      <c r="M58" s="67">
        <v>0</v>
      </c>
      <c r="N58" s="67">
        <v>0</v>
      </c>
      <c r="O58" s="146">
        <v>0</v>
      </c>
      <c r="P58" s="151">
        <f t="array" ref="P58:P62">MMULT(K58:O62,I58:I62)</f>
        <v>1</v>
      </c>
    </row>
    <row r="59" spans="1:16" x14ac:dyDescent="0.2">
      <c r="A59" s="11">
        <f>+$D$37</f>
        <v>1</v>
      </c>
      <c r="B59" s="26">
        <f>2*($D$37+$D$38)</f>
        <v>4</v>
      </c>
      <c r="C59" s="26">
        <f>+$D$38</f>
        <v>1</v>
      </c>
      <c r="D59" s="26">
        <v>0</v>
      </c>
      <c r="E59" s="147">
        <v>0</v>
      </c>
      <c r="G59" s="149" t="s">
        <v>92</v>
      </c>
      <c r="I59" s="152">
        <f>6*($E$38-$E$37)</f>
        <v>-1.5</v>
      </c>
      <c r="K59" s="11">
        <v>-0.26785714285714285</v>
      </c>
      <c r="L59" s="26">
        <v>0.26785714285714285</v>
      </c>
      <c r="M59" s="26">
        <v>-7.1428571428571425E-2</v>
      </c>
      <c r="N59" s="26">
        <v>1.7857142857142856E-2</v>
      </c>
      <c r="O59" s="147">
        <v>-1.7857142857142856E-2</v>
      </c>
      <c r="P59" s="152">
        <v>-3.3303571428571428</v>
      </c>
    </row>
    <row r="60" spans="1:16" ht="15" x14ac:dyDescent="0.25">
      <c r="A60" s="11">
        <v>0</v>
      </c>
      <c r="B60" s="26">
        <f>+$D$38</f>
        <v>1</v>
      </c>
      <c r="C60" s="26">
        <f>2*($D$38+$D$39)</f>
        <v>4</v>
      </c>
      <c r="D60" s="26">
        <f>+$D$39</f>
        <v>1</v>
      </c>
      <c r="E60" s="147">
        <v>0</v>
      </c>
      <c r="F60" s="154" t="s">
        <v>24</v>
      </c>
      <c r="G60" s="149" t="s">
        <v>93</v>
      </c>
      <c r="H60" s="155" t="s">
        <v>81</v>
      </c>
      <c r="I60" s="152">
        <f>6*($E$39-$E$38)</f>
        <v>30</v>
      </c>
      <c r="K60" s="11">
        <v>7.1428571428571425E-2</v>
      </c>
      <c r="L60" s="26">
        <v>-7.1428571428571425E-2</v>
      </c>
      <c r="M60" s="26">
        <v>0.2857142857142857</v>
      </c>
      <c r="N60" s="26">
        <v>-7.1428571428571425E-2</v>
      </c>
      <c r="O60" s="147">
        <v>7.1428571428571425E-2</v>
      </c>
      <c r="P60" s="152">
        <v>10.821428571428571</v>
      </c>
    </row>
    <row r="61" spans="1:16" x14ac:dyDescent="0.2">
      <c r="A61" s="11">
        <v>0</v>
      </c>
      <c r="B61" s="26">
        <v>0</v>
      </c>
      <c r="C61" s="26">
        <f>+$D$39</f>
        <v>1</v>
      </c>
      <c r="D61" s="26">
        <f>2*($D$39+$D$40)</f>
        <v>4</v>
      </c>
      <c r="E61" s="147">
        <f>+$D$40</f>
        <v>1</v>
      </c>
      <c r="G61" s="149" t="s">
        <v>94</v>
      </c>
      <c r="I61" s="152">
        <f>6*($E$40-$E$39)</f>
        <v>-30</v>
      </c>
      <c r="K61" s="11">
        <v>-1.7857142857142856E-2</v>
      </c>
      <c r="L61" s="26">
        <v>1.7857142857142856E-2</v>
      </c>
      <c r="M61" s="26">
        <v>-7.1428571428571425E-2</v>
      </c>
      <c r="N61" s="26">
        <v>0.26785714285714285</v>
      </c>
      <c r="O61" s="147">
        <v>-0.26785714285714285</v>
      </c>
      <c r="P61" s="152">
        <v>-9.9553571428571423</v>
      </c>
    </row>
    <row r="62" spans="1:16" ht="13.5" thickBot="1" x14ac:dyDescent="0.25">
      <c r="A62" s="12">
        <v>0</v>
      </c>
      <c r="B62" s="27">
        <v>0</v>
      </c>
      <c r="C62" s="27">
        <v>0</v>
      </c>
      <c r="D62" s="27">
        <v>0</v>
      </c>
      <c r="E62" s="70">
        <v>1</v>
      </c>
      <c r="G62" s="150">
        <v>0</v>
      </c>
      <c r="I62" s="153">
        <v>-1</v>
      </c>
      <c r="K62" s="12">
        <v>0</v>
      </c>
      <c r="L62" s="27">
        <v>0</v>
      </c>
      <c r="M62" s="27">
        <v>0</v>
      </c>
      <c r="N62" s="27">
        <v>0</v>
      </c>
      <c r="O62" s="70">
        <v>1</v>
      </c>
      <c r="P62" s="153">
        <v>-1</v>
      </c>
    </row>
    <row r="63" spans="1:16" ht="13.5" thickBot="1" x14ac:dyDescent="0.25"/>
    <row r="64" spans="1:16" x14ac:dyDescent="0.2">
      <c r="A64" s="156" t="s">
        <v>97</v>
      </c>
      <c r="B64" s="157" t="s">
        <v>98</v>
      </c>
      <c r="C64" s="157" t="s">
        <v>0</v>
      </c>
      <c r="D64" s="157" t="s">
        <v>3</v>
      </c>
      <c r="E64" s="158" t="s">
        <v>2</v>
      </c>
      <c r="G64" s="164" t="s">
        <v>157</v>
      </c>
      <c r="H64" s="104"/>
      <c r="I64" s="164" t="s">
        <v>153</v>
      </c>
    </row>
    <row r="65" spans="1:16" x14ac:dyDescent="0.2">
      <c r="A65" s="159">
        <v>1</v>
      </c>
      <c r="B65" s="59">
        <f>+$C$37</f>
        <v>0.75</v>
      </c>
      <c r="C65" s="59">
        <f>$E$37-($D$37/6)*(2*P58+P59)</f>
        <v>-0.52827380952380953</v>
      </c>
      <c r="D65" s="59">
        <f>+P58/2</f>
        <v>0.5</v>
      </c>
      <c r="E65" s="160">
        <f>+(P59-P58)/(6*$D$37)</f>
        <v>-0.72172619047619035</v>
      </c>
      <c r="G65" s="152">
        <f>+$D$37/2</f>
        <v>0.5</v>
      </c>
      <c r="I65" s="165">
        <f>+B65+C65*G65+D65*G65^2+E65*G65^3</f>
        <v>0.5206473214285714</v>
      </c>
      <c r="J65" s="106"/>
    </row>
    <row r="66" spans="1:16" x14ac:dyDescent="0.2">
      <c r="A66" s="159">
        <v>2</v>
      </c>
      <c r="B66" s="59">
        <f>+$C$38</f>
        <v>0</v>
      </c>
      <c r="C66" s="59">
        <f>$E$38-($D$38/6)*(2*P59+P60)</f>
        <v>-1.6934523809523809</v>
      </c>
      <c r="D66" s="59">
        <f>+P59/2</f>
        <v>-1.6651785714285714</v>
      </c>
      <c r="E66" s="160">
        <f>+(P60-P59)/(6*$D$38)</f>
        <v>2.3586309523809521</v>
      </c>
      <c r="G66" s="152">
        <f>+$D$38/2</f>
        <v>0.5</v>
      </c>
      <c r="I66" s="165">
        <f>+B66+C66*G66+D66*G66^2+E66*G66^3</f>
        <v>-0.96819196428571419</v>
      </c>
      <c r="J66" s="106"/>
    </row>
    <row r="67" spans="1:16" x14ac:dyDescent="0.2">
      <c r="A67" s="159">
        <v>3</v>
      </c>
      <c r="B67" s="59">
        <f>+$C$39</f>
        <v>-1</v>
      </c>
      <c r="C67" s="59">
        <f>$E$39-($D$39/6)*(2*P60+P61)</f>
        <v>2.0520833333333335</v>
      </c>
      <c r="D67" s="59">
        <f>+P60/2</f>
        <v>5.4107142857142856</v>
      </c>
      <c r="E67" s="160">
        <f>+(P61-P60)/(6*$D$39)</f>
        <v>-3.4627976190476191</v>
      </c>
      <c r="G67" s="152">
        <f>+$D$39/2</f>
        <v>0.5</v>
      </c>
      <c r="I67" s="165">
        <f>+B67+C67*G67+D67*G67^2+E67*G67^3</f>
        <v>0.94587053571428581</v>
      </c>
      <c r="J67" s="106"/>
    </row>
    <row r="68" spans="1:16" ht="13.5" thickBot="1" x14ac:dyDescent="0.25">
      <c r="A68" s="161">
        <v>4</v>
      </c>
      <c r="B68" s="162">
        <f>+$C$40</f>
        <v>3</v>
      </c>
      <c r="C68" s="162">
        <f>$E$40-($D$40/6)*(2*P61+P62)</f>
        <v>2.4851190476190474</v>
      </c>
      <c r="D68" s="162">
        <f>+P61/2</f>
        <v>-4.9776785714285712</v>
      </c>
      <c r="E68" s="163">
        <f>+(P62-P61)/(6*$D$40)</f>
        <v>1.4925595238095237</v>
      </c>
      <c r="G68" s="153">
        <f>+$D$40/2</f>
        <v>0.5</v>
      </c>
      <c r="I68" s="166">
        <f>+B68+C68*G68+D68*G68^2+E68*G68^3</f>
        <v>3.1847098214285712</v>
      </c>
      <c r="J68" s="106"/>
    </row>
    <row r="70" spans="1:16" x14ac:dyDescent="0.2">
      <c r="A70" s="4" t="s">
        <v>105</v>
      </c>
      <c r="C70" s="107" t="s">
        <v>102</v>
      </c>
      <c r="D70" s="108">
        <v>0</v>
      </c>
    </row>
    <row r="71" spans="1:16" ht="13.5" thickBot="1" x14ac:dyDescent="0.25">
      <c r="C71" s="107" t="s">
        <v>103</v>
      </c>
      <c r="D71">
        <v>0</v>
      </c>
      <c r="G71" s="104" t="s">
        <v>3</v>
      </c>
      <c r="H71" s="104"/>
      <c r="I71" s="4" t="s">
        <v>152</v>
      </c>
      <c r="K71" s="4" t="s">
        <v>96</v>
      </c>
      <c r="P71" s="105" t="s">
        <v>3</v>
      </c>
    </row>
    <row r="72" spans="1:16" x14ac:dyDescent="0.2">
      <c r="A72" s="66">
        <f>2*$D$37</f>
        <v>2</v>
      </c>
      <c r="B72" s="67">
        <f>+$D$37</f>
        <v>1</v>
      </c>
      <c r="C72" s="67">
        <v>0</v>
      </c>
      <c r="D72" s="67">
        <v>0</v>
      </c>
      <c r="E72" s="146">
        <v>0</v>
      </c>
      <c r="G72" s="148" t="s">
        <v>91</v>
      </c>
      <c r="I72" s="151">
        <f>6*($E$37-$D70)</f>
        <v>-4.5</v>
      </c>
      <c r="K72" s="66">
        <f t="array" ref="K72:O76">MINVERSE(A72:E76)</f>
        <v>0.57738095238095233</v>
      </c>
      <c r="L72" s="67">
        <v>-0.15476190476190474</v>
      </c>
      <c r="M72" s="67">
        <v>4.1666666666666664E-2</v>
      </c>
      <c r="N72" s="67">
        <v>-1.1904761904761902E-2</v>
      </c>
      <c r="O72" s="146">
        <v>5.9523809523809512E-3</v>
      </c>
      <c r="P72" s="151">
        <f t="array" ref="P72:P76">MMULT(K72:O76,I72:I76)</f>
        <v>-0.72321428571428559</v>
      </c>
    </row>
    <row r="73" spans="1:16" x14ac:dyDescent="0.2">
      <c r="A73" s="11">
        <f>+$D$37</f>
        <v>1</v>
      </c>
      <c r="B73" s="26">
        <f>2*($D$37+$D$38)</f>
        <v>4</v>
      </c>
      <c r="C73" s="26">
        <f>+$D$38</f>
        <v>1</v>
      </c>
      <c r="D73" s="26">
        <v>0</v>
      </c>
      <c r="E73" s="147">
        <v>0</v>
      </c>
      <c r="G73" s="149" t="s">
        <v>92</v>
      </c>
      <c r="I73" s="152">
        <f>6*($E$38-$E$37)</f>
        <v>-1.5</v>
      </c>
      <c r="K73" s="11">
        <v>-0.15476190476190474</v>
      </c>
      <c r="L73" s="26">
        <v>0.30952380952380948</v>
      </c>
      <c r="M73" s="26">
        <v>-8.3333333333333329E-2</v>
      </c>
      <c r="N73" s="26">
        <v>2.3809523809523805E-2</v>
      </c>
      <c r="O73" s="147">
        <v>-1.1904761904761902E-2</v>
      </c>
      <c r="P73" s="152">
        <v>-3.0535714285714284</v>
      </c>
    </row>
    <row r="74" spans="1:16" ht="15" x14ac:dyDescent="0.25">
      <c r="A74" s="11">
        <v>0</v>
      </c>
      <c r="B74" s="26">
        <f>+$D$38</f>
        <v>1</v>
      </c>
      <c r="C74" s="26">
        <f>2*($D$38+$D$39)</f>
        <v>4</v>
      </c>
      <c r="D74" s="26">
        <f>+$D$39</f>
        <v>1</v>
      </c>
      <c r="E74" s="147">
        <v>0</v>
      </c>
      <c r="F74" s="154" t="s">
        <v>24</v>
      </c>
      <c r="G74" s="149" t="s">
        <v>93</v>
      </c>
      <c r="H74" s="155" t="s">
        <v>81</v>
      </c>
      <c r="I74" s="152">
        <f>6*($E$39-$E$38)</f>
        <v>30</v>
      </c>
      <c r="K74" s="11">
        <v>4.1666666666666657E-2</v>
      </c>
      <c r="L74" s="26">
        <v>-8.3333333333333315E-2</v>
      </c>
      <c r="M74" s="26">
        <v>0.29166666666666663</v>
      </c>
      <c r="N74" s="26">
        <v>-8.3333333333333315E-2</v>
      </c>
      <c r="O74" s="147">
        <v>4.1666666666666657E-2</v>
      </c>
      <c r="P74" s="152">
        <v>11.437499999999998</v>
      </c>
    </row>
    <row r="75" spans="1:16" x14ac:dyDescent="0.2">
      <c r="A75" s="11">
        <v>0</v>
      </c>
      <c r="B75" s="26">
        <v>0</v>
      </c>
      <c r="C75" s="26">
        <f>+$D$39</f>
        <v>1</v>
      </c>
      <c r="D75" s="26">
        <f>2*($D$39+$D$40)</f>
        <v>4</v>
      </c>
      <c r="E75" s="147">
        <f>+$D$40</f>
        <v>1</v>
      </c>
      <c r="G75" s="149" t="s">
        <v>94</v>
      </c>
      <c r="I75" s="152">
        <f>6*($E$40-$E$39)</f>
        <v>-30</v>
      </c>
      <c r="K75" s="11">
        <v>-1.1904761904761902E-2</v>
      </c>
      <c r="L75" s="26">
        <v>2.3809523809523805E-2</v>
      </c>
      <c r="M75" s="26">
        <v>-8.3333333333333329E-2</v>
      </c>
      <c r="N75" s="26">
        <v>0.30952380952380948</v>
      </c>
      <c r="O75" s="147">
        <v>-0.15476190476190474</v>
      </c>
      <c r="P75" s="152">
        <v>-12.696428571428571</v>
      </c>
    </row>
    <row r="76" spans="1:16" ht="13.5" thickBot="1" x14ac:dyDescent="0.25">
      <c r="A76" s="12">
        <v>0</v>
      </c>
      <c r="B76" s="27">
        <v>0</v>
      </c>
      <c r="C76" s="27">
        <v>0</v>
      </c>
      <c r="D76" s="27">
        <f>+$D$40</f>
        <v>1</v>
      </c>
      <c r="E76" s="70">
        <f>2*$D$40</f>
        <v>2</v>
      </c>
      <c r="G76" s="150" t="s">
        <v>95</v>
      </c>
      <c r="I76" s="153">
        <f>6*($D71-$E$40)</f>
        <v>6</v>
      </c>
      <c r="K76" s="12">
        <v>5.9523809523809512E-3</v>
      </c>
      <c r="L76" s="27">
        <v>-1.1904761904761902E-2</v>
      </c>
      <c r="M76" s="27">
        <v>4.1666666666666664E-2</v>
      </c>
      <c r="N76" s="27">
        <v>-0.15476190476190474</v>
      </c>
      <c r="O76" s="70">
        <v>0.57738095238095233</v>
      </c>
      <c r="P76" s="153">
        <v>9.3482142857142847</v>
      </c>
    </row>
    <row r="77" spans="1:16" ht="13.5" thickBot="1" x14ac:dyDescent="0.25"/>
    <row r="78" spans="1:16" x14ac:dyDescent="0.2">
      <c r="A78" s="156" t="s">
        <v>97</v>
      </c>
      <c r="B78" s="157" t="s">
        <v>98</v>
      </c>
      <c r="C78" s="157" t="s">
        <v>0</v>
      </c>
      <c r="D78" s="157" t="s">
        <v>3</v>
      </c>
      <c r="E78" s="158" t="s">
        <v>2</v>
      </c>
      <c r="G78" s="164" t="s">
        <v>157</v>
      </c>
      <c r="H78" s="104"/>
      <c r="I78" s="164" t="s">
        <v>153</v>
      </c>
    </row>
    <row r="79" spans="1:16" x14ac:dyDescent="0.2">
      <c r="A79" s="159">
        <v>1</v>
      </c>
      <c r="B79" s="59">
        <f>+$C$37</f>
        <v>0.75</v>
      </c>
      <c r="C79" s="59">
        <f>$E$37-($D$37/6)*(2*P72+P73)</f>
        <v>0</v>
      </c>
      <c r="D79" s="59">
        <f>+P72/2</f>
        <v>-0.36160714285714279</v>
      </c>
      <c r="E79" s="160">
        <f>+(P73-P72)/(6*$D$37)</f>
        <v>-0.38839285714285715</v>
      </c>
      <c r="G79" s="152">
        <f>+$D$37/2</f>
        <v>0.5</v>
      </c>
      <c r="I79" s="165">
        <f>+B79+C79*G79+D79*G79^2+E79*G79^3</f>
        <v>0.61104910714285721</v>
      </c>
      <c r="J79" s="106"/>
    </row>
    <row r="80" spans="1:16" x14ac:dyDescent="0.2">
      <c r="A80" s="159">
        <v>2</v>
      </c>
      <c r="B80" s="59">
        <f>+$C$38</f>
        <v>0</v>
      </c>
      <c r="C80" s="59">
        <f>$E$38-($D$38/6)*(2*P73+P74)</f>
        <v>-1.8883928571428568</v>
      </c>
      <c r="D80" s="59">
        <f>+P73/2</f>
        <v>-1.5267857142857142</v>
      </c>
      <c r="E80" s="160">
        <f>+(P74-P73)/(6*$D$38)</f>
        <v>2.4151785714285712</v>
      </c>
      <c r="G80" s="152">
        <f>+$D$38/2</f>
        <v>0.5</v>
      </c>
      <c r="I80" s="165">
        <f>+B80+C80*G80+D80*G80^2+E80*G80^3</f>
        <v>-1.0239955357142856</v>
      </c>
      <c r="J80" s="106"/>
    </row>
    <row r="81" spans="1:16" x14ac:dyDescent="0.2">
      <c r="A81" s="159">
        <v>3</v>
      </c>
      <c r="B81" s="59">
        <f>+$C$39</f>
        <v>-1</v>
      </c>
      <c r="C81" s="59">
        <f>$E$39-($D$39/6)*(2*P74+P75)</f>
        <v>2.3035714285714293</v>
      </c>
      <c r="D81" s="59">
        <f>+P74/2</f>
        <v>5.7187499999999991</v>
      </c>
      <c r="E81" s="160">
        <f>+(P75-P74)/(6*$D$39)</f>
        <v>-4.0223214285714279</v>
      </c>
      <c r="G81" s="152">
        <f>+$D$39/2</f>
        <v>0.5</v>
      </c>
      <c r="I81" s="165">
        <f>+B81+C81*G81+D81*G81^2+E81*G81^3</f>
        <v>1.078683035714286</v>
      </c>
      <c r="J81" s="106"/>
    </row>
    <row r="82" spans="1:16" ht="13.5" thickBot="1" x14ac:dyDescent="0.25">
      <c r="A82" s="161">
        <v>4</v>
      </c>
      <c r="B82" s="162">
        <f>+$C$40</f>
        <v>3</v>
      </c>
      <c r="C82" s="162">
        <f>$E$40-($D$40/6)*(2*P75+P76)</f>
        <v>1.6741071428571428</v>
      </c>
      <c r="D82" s="162">
        <f>+P75/2</f>
        <v>-6.3482142857142856</v>
      </c>
      <c r="E82" s="163">
        <f>+(P76-P75)/(6*$D$40)</f>
        <v>3.6741071428571423</v>
      </c>
      <c r="G82" s="153">
        <f>+$D$40/2</f>
        <v>0.5</v>
      </c>
      <c r="I82" s="166">
        <f>+B82+C82*G82+D82*G82^2+E82*G82^3</f>
        <v>2.7092633928571428</v>
      </c>
      <c r="J82" s="106"/>
    </row>
    <row r="84" spans="1:16" x14ac:dyDescent="0.2">
      <c r="A84" s="4" t="s">
        <v>104</v>
      </c>
      <c r="C84" s="107" t="s">
        <v>102</v>
      </c>
      <c r="D84" s="108">
        <v>-1</v>
      </c>
    </row>
    <row r="85" spans="1:16" ht="13.5" thickBot="1" x14ac:dyDescent="0.25">
      <c r="C85" s="107" t="s">
        <v>103</v>
      </c>
      <c r="D85">
        <v>-1</v>
      </c>
      <c r="G85" s="104" t="s">
        <v>3</v>
      </c>
      <c r="H85" s="104"/>
      <c r="I85" s="4" t="s">
        <v>152</v>
      </c>
      <c r="K85" s="4" t="s">
        <v>96</v>
      </c>
      <c r="P85" s="105" t="s">
        <v>3</v>
      </c>
    </row>
    <row r="86" spans="1:16" x14ac:dyDescent="0.2">
      <c r="A86" s="66">
        <f>2*$D$37</f>
        <v>2</v>
      </c>
      <c r="B86" s="67">
        <f>+$D$37</f>
        <v>1</v>
      </c>
      <c r="C86" s="67">
        <v>0</v>
      </c>
      <c r="D86" s="67">
        <v>0</v>
      </c>
      <c r="E86" s="146">
        <v>0</v>
      </c>
      <c r="G86" s="148" t="s">
        <v>91</v>
      </c>
      <c r="I86" s="151">
        <f>6*($E$37-$D84)</f>
        <v>1.5</v>
      </c>
      <c r="K86" s="66">
        <f t="array" ref="K86:O90">MINVERSE(A86:E90)</f>
        <v>0.57738095238095233</v>
      </c>
      <c r="L86" s="67">
        <v>-0.15476190476190474</v>
      </c>
      <c r="M86" s="67">
        <v>4.1666666666666664E-2</v>
      </c>
      <c r="N86" s="67">
        <v>-1.1904761904761902E-2</v>
      </c>
      <c r="O86" s="146">
        <v>5.9523809523809512E-3</v>
      </c>
      <c r="P86" s="151">
        <f t="array" ref="P86:P90">MMULT(K86:O90,I86:I90)</f>
        <v>2.7053571428571428</v>
      </c>
    </row>
    <row r="87" spans="1:16" x14ac:dyDescent="0.2">
      <c r="A87" s="11">
        <f>+$D$37</f>
        <v>1</v>
      </c>
      <c r="B87" s="26">
        <f>2*($D$37+$D$38)</f>
        <v>4</v>
      </c>
      <c r="C87" s="26">
        <f>+$D$38</f>
        <v>1</v>
      </c>
      <c r="D87" s="26">
        <v>0</v>
      </c>
      <c r="E87" s="147">
        <v>0</v>
      </c>
      <c r="G87" s="149" t="s">
        <v>92</v>
      </c>
      <c r="I87" s="152">
        <f>6*($E$38-$E$37)</f>
        <v>-1.5</v>
      </c>
      <c r="K87" s="11">
        <v>-0.15476190476190474</v>
      </c>
      <c r="L87" s="26">
        <v>0.30952380952380948</v>
      </c>
      <c r="M87" s="26">
        <v>-8.3333333333333329E-2</v>
      </c>
      <c r="N87" s="26">
        <v>2.3809523809523805E-2</v>
      </c>
      <c r="O87" s="147">
        <v>-1.1904761904761902E-2</v>
      </c>
      <c r="P87" s="152">
        <v>-3.9107142857142856</v>
      </c>
    </row>
    <row r="88" spans="1:16" ht="15" x14ac:dyDescent="0.25">
      <c r="A88" s="11">
        <v>0</v>
      </c>
      <c r="B88" s="26">
        <f>+$D$38</f>
        <v>1</v>
      </c>
      <c r="C88" s="26">
        <f>2*($D$38+$D$39)</f>
        <v>4</v>
      </c>
      <c r="D88" s="26">
        <f>+$D$39</f>
        <v>1</v>
      </c>
      <c r="E88" s="147">
        <v>0</v>
      </c>
      <c r="F88" s="154" t="s">
        <v>24</v>
      </c>
      <c r="G88" s="149" t="s">
        <v>93</v>
      </c>
      <c r="H88" s="155" t="s">
        <v>81</v>
      </c>
      <c r="I88" s="152">
        <f>6*($E$39-$E$38)</f>
        <v>30</v>
      </c>
      <c r="K88" s="11">
        <v>4.1666666666666657E-2</v>
      </c>
      <c r="L88" s="26">
        <v>-8.3333333333333315E-2</v>
      </c>
      <c r="M88" s="26">
        <v>0.29166666666666663</v>
      </c>
      <c r="N88" s="26">
        <v>-8.3333333333333315E-2</v>
      </c>
      <c r="O88" s="147">
        <v>4.1666666666666657E-2</v>
      </c>
      <c r="P88" s="152">
        <v>11.437499999999998</v>
      </c>
    </row>
    <row r="89" spans="1:16" x14ac:dyDescent="0.2">
      <c r="A89" s="11">
        <v>0</v>
      </c>
      <c r="B89" s="26">
        <v>0</v>
      </c>
      <c r="C89" s="26">
        <f>+$D$39</f>
        <v>1</v>
      </c>
      <c r="D89" s="26">
        <f>2*($D$39+$D$40)</f>
        <v>4</v>
      </c>
      <c r="E89" s="147">
        <f>+$D$40</f>
        <v>1</v>
      </c>
      <c r="G89" s="149" t="s">
        <v>94</v>
      </c>
      <c r="I89" s="152">
        <f>6*($E$40-$E$39)</f>
        <v>-30</v>
      </c>
      <c r="K89" s="11">
        <v>-1.1904761904761902E-2</v>
      </c>
      <c r="L89" s="26">
        <v>2.3809523809523805E-2</v>
      </c>
      <c r="M89" s="26">
        <v>-8.3333333333333329E-2</v>
      </c>
      <c r="N89" s="26">
        <v>0.30952380952380948</v>
      </c>
      <c r="O89" s="147">
        <v>-0.15476190476190474</v>
      </c>
      <c r="P89" s="152">
        <v>-11.839285714285714</v>
      </c>
    </row>
    <row r="90" spans="1:16" ht="13.5" thickBot="1" x14ac:dyDescent="0.25">
      <c r="A90" s="12">
        <v>0</v>
      </c>
      <c r="B90" s="27">
        <v>0</v>
      </c>
      <c r="C90" s="27">
        <v>0</v>
      </c>
      <c r="D90" s="27">
        <f>+$D$40</f>
        <v>1</v>
      </c>
      <c r="E90" s="70">
        <f>2*$D$40</f>
        <v>2</v>
      </c>
      <c r="G90" s="150" t="s">
        <v>95</v>
      </c>
      <c r="I90" s="153">
        <f>6*($D85-$E$40)</f>
        <v>0</v>
      </c>
      <c r="K90" s="12">
        <v>5.9523809523809512E-3</v>
      </c>
      <c r="L90" s="27">
        <v>-1.1904761904761902E-2</v>
      </c>
      <c r="M90" s="27">
        <v>4.1666666666666664E-2</v>
      </c>
      <c r="N90" s="27">
        <v>-0.15476190476190474</v>
      </c>
      <c r="O90" s="70">
        <v>0.57738095238095233</v>
      </c>
      <c r="P90" s="153">
        <v>5.9196428571428568</v>
      </c>
    </row>
    <row r="91" spans="1:16" ht="13.5" thickBot="1" x14ac:dyDescent="0.25"/>
    <row r="92" spans="1:16" x14ac:dyDescent="0.2">
      <c r="A92" s="156" t="s">
        <v>97</v>
      </c>
      <c r="B92" s="157" t="s">
        <v>98</v>
      </c>
      <c r="C92" s="157" t="s">
        <v>0</v>
      </c>
      <c r="D92" s="157" t="s">
        <v>3</v>
      </c>
      <c r="E92" s="158" t="s">
        <v>2</v>
      </c>
      <c r="G92" s="164" t="s">
        <v>157</v>
      </c>
      <c r="H92" s="104"/>
      <c r="I92" s="164" t="s">
        <v>153</v>
      </c>
    </row>
    <row r="93" spans="1:16" x14ac:dyDescent="0.2">
      <c r="A93" s="159">
        <v>1</v>
      </c>
      <c r="B93" s="59">
        <f>+$C$37</f>
        <v>0.75</v>
      </c>
      <c r="C93" s="59">
        <f>$E$37-($D$37/6)*(2*P86+P87)</f>
        <v>-1</v>
      </c>
      <c r="D93" s="59">
        <f>+P86/2</f>
        <v>1.3526785714285714</v>
      </c>
      <c r="E93" s="160">
        <f>+(P87-P86)/(6*$D$37)</f>
        <v>-1.1026785714285714</v>
      </c>
      <c r="G93" s="152">
        <f>+$D$37/2</f>
        <v>0.5</v>
      </c>
      <c r="I93" s="165">
        <f>+B93+C93*G93+D93*G93^2+E93*G93^3</f>
        <v>0.4503348214285714</v>
      </c>
      <c r="J93" s="106"/>
    </row>
    <row r="94" spans="1:16" x14ac:dyDescent="0.2">
      <c r="A94" s="159">
        <v>2</v>
      </c>
      <c r="B94" s="59">
        <f>+$C$38</f>
        <v>0</v>
      </c>
      <c r="C94" s="59">
        <f>$E$38-($D$38/6)*(2*P87+P88)</f>
        <v>-1.6026785714285712</v>
      </c>
      <c r="D94" s="59">
        <f>+P87/2</f>
        <v>-1.9553571428571428</v>
      </c>
      <c r="E94" s="160">
        <f>+(P88-P87)/(6*$D$38)</f>
        <v>2.558035714285714</v>
      </c>
      <c r="G94" s="152">
        <f>+$D$38/2</f>
        <v>0.5</v>
      </c>
      <c r="I94" s="165">
        <f>+B94+C94*G94+D94*G94^2+E94*G94^3</f>
        <v>-0.97042410714285698</v>
      </c>
      <c r="J94" s="106"/>
    </row>
    <row r="95" spans="1:16" x14ac:dyDescent="0.2">
      <c r="A95" s="159">
        <v>3</v>
      </c>
      <c r="B95" s="59">
        <f>+$C$39</f>
        <v>-1</v>
      </c>
      <c r="C95" s="59">
        <f>$E$39-($D$39/6)*(2*P88+P89)</f>
        <v>2.1607142857142865</v>
      </c>
      <c r="D95" s="59">
        <f>+P88/2</f>
        <v>5.7187499999999991</v>
      </c>
      <c r="E95" s="160">
        <f>+(P89-P88)/(6*$D$39)</f>
        <v>-3.8794642857142851</v>
      </c>
      <c r="G95" s="152">
        <f>+$D$39/2</f>
        <v>0.5</v>
      </c>
      <c r="I95" s="165">
        <f>+B95+C95*G95+D95*G95^2+E95*G95^3</f>
        <v>1.0251116071428574</v>
      </c>
      <c r="J95" s="106"/>
    </row>
    <row r="96" spans="1:16" ht="13.5" thickBot="1" x14ac:dyDescent="0.25">
      <c r="A96" s="161">
        <v>4</v>
      </c>
      <c r="B96" s="162">
        <f>+$C$40</f>
        <v>3</v>
      </c>
      <c r="C96" s="162">
        <f>$E$40-($D$40/6)*(2*P89+P90)</f>
        <v>1.9598214285714279</v>
      </c>
      <c r="D96" s="162">
        <f>+P89/2</f>
        <v>-5.9196428571428568</v>
      </c>
      <c r="E96" s="163">
        <f>+(P90-P89)/(6*$D$40)</f>
        <v>2.9598214285714284</v>
      </c>
      <c r="G96" s="153">
        <f>+$D$40/2</f>
        <v>0.5</v>
      </c>
      <c r="I96" s="166">
        <f>+B96+C96*G96+D96*G96^2+E96*G96^3</f>
        <v>2.8699776785714284</v>
      </c>
      <c r="J96" s="106"/>
    </row>
    <row r="113" spans="16:16" x14ac:dyDescent="0.2">
      <c r="P113" s="3"/>
    </row>
    <row r="118" spans="16:16" x14ac:dyDescent="0.2">
      <c r="P118" s="3"/>
    </row>
    <row r="123" spans="16:16" x14ac:dyDescent="0.2">
      <c r="P123" s="3"/>
    </row>
    <row r="128" spans="16:16" x14ac:dyDescent="0.2">
      <c r="P128" s="3"/>
    </row>
    <row r="134" spans="1:15" x14ac:dyDescent="0.2">
      <c r="A134" s="3" t="s">
        <v>97</v>
      </c>
      <c r="B134" s="3" t="s">
        <v>98</v>
      </c>
      <c r="C134" s="105" t="s">
        <v>0</v>
      </c>
      <c r="D134" s="105" t="s">
        <v>3</v>
      </c>
      <c r="E134" s="105" t="s">
        <v>2</v>
      </c>
      <c r="F134" s="105"/>
      <c r="G134" s="104" t="s">
        <v>100</v>
      </c>
      <c r="H134" s="104"/>
      <c r="I134" s="3" t="s">
        <v>99</v>
      </c>
    </row>
    <row r="135" spans="1:15" x14ac:dyDescent="0.2">
      <c r="A135" s="3">
        <v>1</v>
      </c>
      <c r="B135">
        <f>+$C$37</f>
        <v>0.75</v>
      </c>
      <c r="C135">
        <f>$E$37-($D$37/6)*(2*P100+P101)</f>
        <v>-0.75</v>
      </c>
      <c r="D135">
        <f>+P100/2</f>
        <v>0</v>
      </c>
      <c r="E135">
        <f>+(P101-P100)/(6*$D$37)</f>
        <v>0</v>
      </c>
      <c r="G135">
        <f>+$D$37/2</f>
        <v>0.5</v>
      </c>
      <c r="I135">
        <f>+B135+C135*G135+D135*G135^2+E135*G135^3</f>
        <v>0.375</v>
      </c>
      <c r="J135" s="106"/>
    </row>
    <row r="136" spans="1:15" x14ac:dyDescent="0.2">
      <c r="A136" s="3">
        <v>2</v>
      </c>
      <c r="B136">
        <f>+$C$38</f>
        <v>0</v>
      </c>
      <c r="C136">
        <f>$E$38-($D$38/6)*(2*P101+P102)</f>
        <v>-1</v>
      </c>
      <c r="D136">
        <f>+P101/2</f>
        <v>0</v>
      </c>
      <c r="E136">
        <f>+(P102-P101)/(6*$D$38)</f>
        <v>0</v>
      </c>
      <c r="G136">
        <f>+$D$38/2</f>
        <v>0.5</v>
      </c>
      <c r="I136">
        <f>+B136+C136*G136+D136*G136^2+E136*G136^3</f>
        <v>-0.5</v>
      </c>
      <c r="J136" s="106"/>
    </row>
    <row r="137" spans="1:15" x14ac:dyDescent="0.2">
      <c r="A137" s="3">
        <v>3</v>
      </c>
      <c r="B137">
        <f>+$C$39</f>
        <v>-1</v>
      </c>
      <c r="C137">
        <f>$E$39-($D$39/6)*(2*P102+P103)</f>
        <v>4</v>
      </c>
      <c r="D137">
        <f>+P102/2</f>
        <v>0</v>
      </c>
      <c r="E137">
        <f>+(P103-P102)/(6*$D$39)</f>
        <v>0</v>
      </c>
      <c r="G137">
        <f>+$D$39/2</f>
        <v>0.5</v>
      </c>
      <c r="I137">
        <f>+B137+C137*G137+D137*G137^2+E137*G137^3</f>
        <v>1</v>
      </c>
      <c r="J137" s="106"/>
    </row>
    <row r="138" spans="1:15" x14ac:dyDescent="0.2">
      <c r="A138" s="3">
        <v>4</v>
      </c>
      <c r="B138">
        <f>+$C$40</f>
        <v>3</v>
      </c>
      <c r="C138">
        <f>$E$40-($D$40/6)*(2*P103+P104)</f>
        <v>-1</v>
      </c>
      <c r="D138">
        <f>+P103/2</f>
        <v>0</v>
      </c>
      <c r="E138">
        <f>+(P104-P103)/(6*$D$40)</f>
        <v>0</v>
      </c>
      <c r="G138">
        <f>+$D$40/2</f>
        <v>0.5</v>
      </c>
      <c r="I138">
        <f>+B138+C138*G138+D138*G138^2+E138*G138^3</f>
        <v>2.5</v>
      </c>
      <c r="J138" s="106"/>
    </row>
    <row r="140" spans="1:15" x14ac:dyDescent="0.2">
      <c r="A140">
        <v>0.2</v>
      </c>
      <c r="C140">
        <f>+(C143-C142)/$B$143</f>
        <v>-0.2366071429100767</v>
      </c>
      <c r="D140">
        <f>+(D143-D142)/$B$143</f>
        <v>-0.52826880960408529</v>
      </c>
      <c r="E140">
        <f>+(E143-E142)/$B$143</f>
        <v>-3.6161074134829076E-6</v>
      </c>
      <c r="G140">
        <f>+(G143-G142)/$B$143</f>
        <v>-0.99998647332022383</v>
      </c>
      <c r="I140">
        <f>+(I143-I142)/$B$143</f>
        <v>0</v>
      </c>
    </row>
    <row r="141" spans="1:15" x14ac:dyDescent="0.2">
      <c r="A141" s="3" t="s">
        <v>106</v>
      </c>
      <c r="J141">
        <v>1</v>
      </c>
      <c r="L141" s="3" t="s">
        <v>107</v>
      </c>
      <c r="M141" s="3" t="s">
        <v>108</v>
      </c>
      <c r="N141" s="3" t="s">
        <v>109</v>
      </c>
      <c r="O141" s="3" t="s">
        <v>110</v>
      </c>
    </row>
    <row r="142" spans="1:15" x14ac:dyDescent="0.2">
      <c r="A142">
        <v>1</v>
      </c>
      <c r="B142">
        <v>0</v>
      </c>
      <c r="C142">
        <f t="shared" ref="C142:E146" si="0">+L$142+L$143*$B142+L$144*$B142^2+L$145*$B142^3</f>
        <v>0.75</v>
      </c>
      <c r="D142">
        <f t="shared" si="0"/>
        <v>0.75</v>
      </c>
      <c r="E142">
        <f t="shared" si="0"/>
        <v>0.75</v>
      </c>
      <c r="G142">
        <f>+O$142+O$143*$B142+O$144*$B142^2+O$145*$B142^3</f>
        <v>0.75</v>
      </c>
      <c r="I142">
        <f>+P$114+P$115*$B142+P$116*$B142^2+P$117*$B142^3</f>
        <v>0</v>
      </c>
      <c r="J142" s="3" t="s">
        <v>98</v>
      </c>
      <c r="K142">
        <v>1</v>
      </c>
      <c r="L142">
        <f>INDEX($B$51:$E$54,$J141,$K142)</f>
        <v>0.75</v>
      </c>
      <c r="M142">
        <f>INDEX($B$65:$E$68,$J141,$K142)</f>
        <v>0.75</v>
      </c>
      <c r="N142">
        <f>INDEX($B$79:$E$82,$J141,$K142)</f>
        <v>0.75</v>
      </c>
      <c r="O142">
        <f>INDEX($B$93:$E$96,$J141,$K142)</f>
        <v>0.75</v>
      </c>
    </row>
    <row r="143" spans="1:15" x14ac:dyDescent="0.2">
      <c r="A143">
        <v>1.0000100000000001</v>
      </c>
      <c r="B143">
        <f>+A143-INT(A143)</f>
        <v>1.0000000000065512E-5</v>
      </c>
      <c r="C143">
        <f t="shared" si="0"/>
        <v>0.74999763392857088</v>
      </c>
      <c r="D143">
        <f t="shared" si="0"/>
        <v>0.74999471731190392</v>
      </c>
      <c r="E143">
        <f t="shared" si="0"/>
        <v>0.74999999996383893</v>
      </c>
      <c r="G143">
        <f>+O$142+O$143*$B143+O$144*$B143^2+O$145*$B143^3</f>
        <v>0.74999000013526673</v>
      </c>
      <c r="I143">
        <f>+P$114+P$115*$B143+P$116*$B143^2+P$117*$B143^3</f>
        <v>0</v>
      </c>
      <c r="J143" s="3" t="s">
        <v>0</v>
      </c>
      <c r="K143">
        <v>2</v>
      </c>
      <c r="L143">
        <f>INDEX($B$51:$E$54,$J141,$K143)</f>
        <v>-0.2366071428571429</v>
      </c>
      <c r="M143">
        <f>INDEX($B$65:$E$68,$J141,$K143)</f>
        <v>-0.52827380952380953</v>
      </c>
      <c r="N143">
        <f>INDEX($B$79:$E$82,$J141,$K143)</f>
        <v>0</v>
      </c>
      <c r="O143">
        <f>INDEX($B$93:$E$96,$J141,$K143)</f>
        <v>-1</v>
      </c>
    </row>
    <row r="144" spans="1:15" x14ac:dyDescent="0.2">
      <c r="A144">
        <v>1.4</v>
      </c>
      <c r="B144">
        <f t="shared" ref="B144:B161" si="1">+A144-INT(A144)</f>
        <v>0.39999999999999991</v>
      </c>
      <c r="C144">
        <f t="shared" si="0"/>
        <v>0.62250000000000005</v>
      </c>
      <c r="D144">
        <f t="shared" si="0"/>
        <v>0.57250000000000012</v>
      </c>
      <c r="E144">
        <f t="shared" si="0"/>
        <v>0.66728571428571437</v>
      </c>
      <c r="G144">
        <f>+O$142+O$143*$B144+O$144*$B144^2+O$145*$B144^3</f>
        <v>0.49585714285714289</v>
      </c>
      <c r="I144">
        <f>+P$114+P$115*$B144+P$116*$B144^2+P$117*$B144^3</f>
        <v>0</v>
      </c>
      <c r="J144" s="3" t="s">
        <v>3</v>
      </c>
      <c r="K144">
        <v>3</v>
      </c>
      <c r="L144">
        <f>INDEX($B$51:$E$54,$J141,$K144)</f>
        <v>0</v>
      </c>
      <c r="M144">
        <f>INDEX($B$65:$E$68,$J141,$K144)</f>
        <v>0.5</v>
      </c>
      <c r="N144">
        <f>INDEX($B$79:$E$82,$J141,$K144)</f>
        <v>-0.36160714285714279</v>
      </c>
      <c r="O144">
        <f>INDEX($B$93:$E$96,$J141,$K144)</f>
        <v>1.3526785714285714</v>
      </c>
    </row>
    <row r="145" spans="1:15" x14ac:dyDescent="0.2">
      <c r="A145">
        <f t="shared" ref="A145:A160" si="2">+A144+$A$140</f>
        <v>1.5999999999999999</v>
      </c>
      <c r="B145">
        <f t="shared" si="1"/>
        <v>0.59999999999999987</v>
      </c>
      <c r="C145">
        <f t="shared" si="0"/>
        <v>0.49714285714285722</v>
      </c>
      <c r="D145">
        <f t="shared" si="0"/>
        <v>0.45714285714285724</v>
      </c>
      <c r="E145">
        <f t="shared" si="0"/>
        <v>0.53592857142857153</v>
      </c>
      <c r="G145">
        <f>+O$142+O$143*$B145+O$144*$B145^2+O$145*$B145^3</f>
        <v>0.39878571428571441</v>
      </c>
      <c r="I145">
        <f>+P$114+P$115*$B145+P$116*$B145^2+P$117*$B145^3</f>
        <v>0</v>
      </c>
      <c r="J145" s="3" t="s">
        <v>2</v>
      </c>
      <c r="K145">
        <v>4</v>
      </c>
      <c r="L145">
        <f>INDEX($B$51:$E$54,$J141,$K145)</f>
        <v>-0.5133928571428571</v>
      </c>
      <c r="M145">
        <f>INDEX($B$65:$E$68,$J141,$K145)</f>
        <v>-0.72172619047619035</v>
      </c>
      <c r="N145">
        <f>INDEX($B$79:$E$82,$J141,$K145)</f>
        <v>-0.38839285714285715</v>
      </c>
      <c r="O145">
        <f>INDEX($B$93:$E$96,$J141,$K145)</f>
        <v>-1.1026785714285714</v>
      </c>
    </row>
    <row r="146" spans="1:15" x14ac:dyDescent="0.2">
      <c r="A146">
        <f t="shared" si="2"/>
        <v>1.7999999999999998</v>
      </c>
      <c r="B146">
        <f t="shared" si="1"/>
        <v>0.79999999999999982</v>
      </c>
      <c r="C146">
        <f t="shared" si="0"/>
        <v>0.29785714285714304</v>
      </c>
      <c r="D146">
        <f t="shared" si="0"/>
        <v>0.27785714285714302</v>
      </c>
      <c r="E146">
        <f t="shared" si="0"/>
        <v>0.31971428571428595</v>
      </c>
      <c r="G146">
        <f>+O$142+O$143*$B146+O$144*$B146^2+O$145*$B146^3</f>
        <v>0.25114285714285722</v>
      </c>
      <c r="I146">
        <f>+P$114+P$115*$B146+P$116*$B146^2+P$117*$B146^3</f>
        <v>0</v>
      </c>
      <c r="J146">
        <f>+J141+1</f>
        <v>2</v>
      </c>
      <c r="L146" s="3" t="s">
        <v>107</v>
      </c>
      <c r="M146" s="3" t="s">
        <v>108</v>
      </c>
      <c r="N146" s="3" t="s">
        <v>109</v>
      </c>
      <c r="O146" s="3" t="s">
        <v>110</v>
      </c>
    </row>
    <row r="147" spans="1:15" x14ac:dyDescent="0.2">
      <c r="A147">
        <f t="shared" si="2"/>
        <v>1.9999999999999998</v>
      </c>
      <c r="B147">
        <f t="shared" si="1"/>
        <v>0</v>
      </c>
      <c r="C147">
        <f t="shared" ref="C147:E151" si="3">+L$147+L$148*$B147+L$149*$B147^2+L$150*$B147^3</f>
        <v>0</v>
      </c>
      <c r="D147">
        <f t="shared" si="3"/>
        <v>0</v>
      </c>
      <c r="E147">
        <f t="shared" si="3"/>
        <v>0</v>
      </c>
      <c r="G147">
        <f>+O$147+O$148*$B147+O$149*$B147^2+O$150*$B147^3</f>
        <v>0</v>
      </c>
      <c r="I147">
        <f>+P$119+P$120*$B147+P$121*$B147^2+P$122*$B147^3</f>
        <v>0</v>
      </c>
      <c r="J147" s="3" t="s">
        <v>98</v>
      </c>
      <c r="K147">
        <v>1</v>
      </c>
      <c r="L147">
        <f>INDEX($B$51:$E$54,$J146,$K147)</f>
        <v>0</v>
      </c>
      <c r="M147">
        <f>INDEX($B$65:$E$68,$J146,$K147)</f>
        <v>0</v>
      </c>
      <c r="N147">
        <f>INDEX($B$79:$E$82,$J146,$K147)</f>
        <v>0</v>
      </c>
      <c r="O147">
        <f>INDEX($B$93:$E$96,$J146,$K147)</f>
        <v>0</v>
      </c>
    </row>
    <row r="148" spans="1:15" x14ac:dyDescent="0.2">
      <c r="A148">
        <f t="shared" si="2"/>
        <v>2.1999999999999997</v>
      </c>
      <c r="B148">
        <f t="shared" si="1"/>
        <v>0.19999999999999973</v>
      </c>
      <c r="C148">
        <f t="shared" si="3"/>
        <v>-0.39842857142857085</v>
      </c>
      <c r="D148">
        <f t="shared" si="3"/>
        <v>-0.38642857142857084</v>
      </c>
      <c r="E148">
        <f t="shared" si="3"/>
        <v>-0.41942857142857076</v>
      </c>
      <c r="G148">
        <f>+O$147+O$148*$B148+O$149*$B148^2+O$150*$B148^3</f>
        <v>-0.37828571428571367</v>
      </c>
      <c r="I148">
        <f>+P$119+P$120*$B148+P$121*$B148^2+P$122*$B148^3</f>
        <v>0</v>
      </c>
      <c r="J148" s="3" t="s">
        <v>0</v>
      </c>
      <c r="K148">
        <v>2</v>
      </c>
      <c r="L148">
        <f>INDEX($B$51:$E$54,$J146,$K148)</f>
        <v>-1.7767857142857142</v>
      </c>
      <c r="M148">
        <f>INDEX($B$65:$E$68,$J146,$K148)</f>
        <v>-1.6934523809523809</v>
      </c>
      <c r="N148">
        <f>INDEX($B$79:$E$82,$J146,$K148)</f>
        <v>-1.8883928571428568</v>
      </c>
      <c r="O148">
        <f>INDEX($B$93:$E$96,$J146,$K148)</f>
        <v>-1.6026785714285712</v>
      </c>
    </row>
    <row r="149" spans="1:15" x14ac:dyDescent="0.2">
      <c r="A149">
        <f t="shared" si="2"/>
        <v>2.4</v>
      </c>
      <c r="B149">
        <f t="shared" si="1"/>
        <v>0.39999999999999991</v>
      </c>
      <c r="C149">
        <f t="shared" si="3"/>
        <v>-0.80885714285714272</v>
      </c>
      <c r="D149">
        <f t="shared" si="3"/>
        <v>-0.79285714285714259</v>
      </c>
      <c r="E149">
        <f t="shared" si="3"/>
        <v>-0.84507142857142814</v>
      </c>
      <c r="G149">
        <f>+O$147+O$148*$B149+O$149*$B149^2+O$150*$B149^3</f>
        <v>-0.79021428571428542</v>
      </c>
      <c r="I149">
        <f>+P$119+P$120*$B149+P$121*$B149^2+P$122*$B149^3</f>
        <v>0</v>
      </c>
      <c r="J149" s="3" t="s">
        <v>3</v>
      </c>
      <c r="K149">
        <v>3</v>
      </c>
      <c r="L149">
        <f>INDEX($B$51:$E$54,$J146,$K149)</f>
        <v>-1.5401785714285714</v>
      </c>
      <c r="M149">
        <f>INDEX($B$65:$E$68,$J146,$K149)</f>
        <v>-1.6651785714285714</v>
      </c>
      <c r="N149">
        <f>INDEX($B$79:$E$82,$J146,$K149)</f>
        <v>-1.5267857142857142</v>
      </c>
      <c r="O149">
        <f>INDEX($B$93:$E$96,$J146,$K149)</f>
        <v>-1.9553571428571428</v>
      </c>
    </row>
    <row r="150" spans="1:15" x14ac:dyDescent="0.2">
      <c r="A150">
        <f t="shared" si="2"/>
        <v>2.6</v>
      </c>
      <c r="B150">
        <f t="shared" si="1"/>
        <v>0.60000000000000009</v>
      </c>
      <c r="C150">
        <f t="shared" si="3"/>
        <v>-1.1200714285714288</v>
      </c>
      <c r="D150">
        <f t="shared" si="3"/>
        <v>-1.1060714285714286</v>
      </c>
      <c r="E150">
        <f t="shared" si="3"/>
        <v>-1.1609999999999996</v>
      </c>
      <c r="G150">
        <f>+O$147+O$148*$B150+O$149*$B150^2+O$150*$B150^3</f>
        <v>-1.113</v>
      </c>
      <c r="I150">
        <f>+P$119+P$120*$B150+P$121*$B150^2+P$122*$B150^3</f>
        <v>0</v>
      </c>
      <c r="J150" s="3" t="s">
        <v>2</v>
      </c>
      <c r="K150">
        <v>4</v>
      </c>
      <c r="L150">
        <f>INDEX($B$51:$E$54,$J146,$K150)</f>
        <v>2.3169642857142856</v>
      </c>
      <c r="M150">
        <f>INDEX($B$65:$E$68,$J146,$K150)</f>
        <v>2.3586309523809521</v>
      </c>
      <c r="N150">
        <f>INDEX($B$79:$E$82,$J146,$K150)</f>
        <v>2.4151785714285712</v>
      </c>
      <c r="O150">
        <f>INDEX($B$93:$E$96,$J146,$K150)</f>
        <v>2.558035714285714</v>
      </c>
    </row>
    <row r="151" spans="1:15" x14ac:dyDescent="0.2">
      <c r="A151">
        <f t="shared" si="2"/>
        <v>2.8000000000000003</v>
      </c>
      <c r="B151">
        <f t="shared" si="1"/>
        <v>0.80000000000000027</v>
      </c>
      <c r="C151">
        <f t="shared" si="3"/>
        <v>-1.2208571428571429</v>
      </c>
      <c r="D151">
        <f t="shared" si="3"/>
        <v>-1.2128571428571433</v>
      </c>
      <c r="E151">
        <f t="shared" si="3"/>
        <v>-1.2512857142857141</v>
      </c>
      <c r="G151">
        <f>+O$147+O$148*$B151+O$149*$B151^2+O$150*$B151^3</f>
        <v>-1.2238571428571428</v>
      </c>
      <c r="I151">
        <f>+P$119+P$120*$B151+P$121*$B151^2+P$122*$B151^3</f>
        <v>0</v>
      </c>
      <c r="J151">
        <f>+J146+1</f>
        <v>3</v>
      </c>
      <c r="L151" s="3" t="s">
        <v>107</v>
      </c>
      <c r="M151" s="3" t="s">
        <v>108</v>
      </c>
      <c r="N151" s="3" t="s">
        <v>109</v>
      </c>
      <c r="O151" s="3" t="s">
        <v>110</v>
      </c>
    </row>
    <row r="152" spans="1:15" x14ac:dyDescent="0.2">
      <c r="A152">
        <f t="shared" si="2"/>
        <v>3.0000000000000004</v>
      </c>
      <c r="B152">
        <f t="shared" si="1"/>
        <v>0</v>
      </c>
      <c r="C152">
        <f t="shared" ref="C152:E156" si="4">+L$152+L$153*$B152+L$154*$B152^2+L$155*$B152^3</f>
        <v>-1</v>
      </c>
      <c r="D152">
        <f t="shared" si="4"/>
        <v>-1</v>
      </c>
      <c r="E152">
        <f t="shared" si="4"/>
        <v>-1</v>
      </c>
      <c r="G152">
        <f>+O$152+O$153*$B152+O$154*$B152^2+O$155*$B152^3</f>
        <v>-1</v>
      </c>
      <c r="I152">
        <f>+P$124+P$125*$B152+P$126*$B152^2+P$127*$B152^3</f>
        <v>0</v>
      </c>
      <c r="J152" s="3" t="s">
        <v>98</v>
      </c>
      <c r="K152">
        <v>1</v>
      </c>
      <c r="L152">
        <f>INDEX($B$51:$E$54,$J151,$K152)</f>
        <v>-1</v>
      </c>
      <c r="M152">
        <f>INDEX($B$65:$E$68,$J151,$K152)</f>
        <v>-1</v>
      </c>
      <c r="N152">
        <f>INDEX($B$79:$E$82,$J151,$K152)</f>
        <v>-1</v>
      </c>
      <c r="O152">
        <f>INDEX($B$93:$E$96,$J151,$K152)</f>
        <v>-1</v>
      </c>
    </row>
    <row r="153" spans="1:15" x14ac:dyDescent="0.2">
      <c r="A153">
        <f t="shared" si="2"/>
        <v>3.2000000000000006</v>
      </c>
      <c r="B153">
        <f t="shared" si="1"/>
        <v>0.20000000000000062</v>
      </c>
      <c r="C153">
        <f t="shared" si="4"/>
        <v>-0.39285714285714052</v>
      </c>
      <c r="D153">
        <f t="shared" si="4"/>
        <v>-0.40085714285714047</v>
      </c>
      <c r="E153">
        <f t="shared" si="4"/>
        <v>-0.34271428571428303</v>
      </c>
      <c r="G153">
        <f>+O$152+O$153*$B153+O$154*$B153^2+O$155*$B153^3</f>
        <v>-0.37014285714285444</v>
      </c>
      <c r="I153">
        <f>+P$124+P$125*$B153+P$126*$B153^2+P$127*$B153^3</f>
        <v>0</v>
      </c>
      <c r="J153" s="3" t="s">
        <v>0</v>
      </c>
      <c r="K153">
        <v>2</v>
      </c>
      <c r="L153">
        <f>INDEX($B$51:$E$54,$J151,$K153)</f>
        <v>2.09375</v>
      </c>
      <c r="M153">
        <f>INDEX($B$65:$E$68,$J151,$K153)</f>
        <v>2.0520833333333335</v>
      </c>
      <c r="N153">
        <f>INDEX($B$79:$E$82,$J151,$K153)</f>
        <v>2.3035714285714293</v>
      </c>
      <c r="O153">
        <f>INDEX($B$93:$E$96,$J151,$K153)</f>
        <v>2.1607142857142865</v>
      </c>
    </row>
    <row r="154" spans="1:15" x14ac:dyDescent="0.2">
      <c r="A154">
        <f t="shared" si="2"/>
        <v>3.4000000000000008</v>
      </c>
      <c r="B154">
        <f t="shared" si="1"/>
        <v>0.4000000000000008</v>
      </c>
      <c r="C154">
        <f t="shared" si="4"/>
        <v>0.47892857142857526</v>
      </c>
      <c r="D154">
        <f t="shared" si="4"/>
        <v>0.46492857142857535</v>
      </c>
      <c r="E154">
        <f t="shared" si="4"/>
        <v>0.57900000000000418</v>
      </c>
      <c r="G154">
        <f>+O$152+O$153*$B154+O$154*$B154^2+O$155*$B154^3</f>
        <v>0.53100000000000402</v>
      </c>
      <c r="I154">
        <f>+P$124+P$125*$B154+P$126*$B154^2+P$127*$B154^3</f>
        <v>0</v>
      </c>
      <c r="J154" s="3" t="s">
        <v>3</v>
      </c>
      <c r="K154">
        <v>3</v>
      </c>
      <c r="L154">
        <f>INDEX($B$51:$E$54,$J151,$K154)</f>
        <v>5.4107142857142856</v>
      </c>
      <c r="M154">
        <f>INDEX($B$65:$E$68,$J151,$K154)</f>
        <v>5.4107142857142856</v>
      </c>
      <c r="N154">
        <f>INDEX($B$79:$E$82,$J151,$K154)</f>
        <v>5.7187499999999991</v>
      </c>
      <c r="O154">
        <f>INDEX($B$93:$E$96,$J151,$K154)</f>
        <v>5.7187499999999991</v>
      </c>
    </row>
    <row r="155" spans="1:15" x14ac:dyDescent="0.2">
      <c r="A155">
        <f t="shared" si="2"/>
        <v>3.600000000000001</v>
      </c>
      <c r="B155">
        <f t="shared" si="1"/>
        <v>0.60000000000000098</v>
      </c>
      <c r="C155">
        <f t="shared" si="4"/>
        <v>1.4471428571428615</v>
      </c>
      <c r="D155">
        <f t="shared" si="4"/>
        <v>1.4311428571428617</v>
      </c>
      <c r="E155">
        <f t="shared" si="4"/>
        <v>1.5720714285714332</v>
      </c>
      <c r="G155">
        <f>+O$152+O$153*$B155+O$154*$B155^2+O$155*$B155^3</f>
        <v>1.5172142857142903</v>
      </c>
      <c r="I155">
        <f>+P$124+P$125*$B155+P$126*$B155^2+P$127*$B155^3</f>
        <v>0</v>
      </c>
      <c r="J155" s="3" t="s">
        <v>2</v>
      </c>
      <c r="K155">
        <v>4</v>
      </c>
      <c r="L155">
        <f>INDEX($B$51:$E$54,$J151,$K155)</f>
        <v>-3.504464285714286</v>
      </c>
      <c r="M155">
        <f>INDEX($B$65:$E$68,$J151,$K155)</f>
        <v>-3.4627976190476191</v>
      </c>
      <c r="N155">
        <f>INDEX($B$79:$E$82,$J151,$K155)</f>
        <v>-4.0223214285714279</v>
      </c>
      <c r="O155">
        <f>INDEX($B$93:$E$96,$J151,$K155)</f>
        <v>-3.8794642857142851</v>
      </c>
    </row>
    <row r="156" spans="1:15" x14ac:dyDescent="0.2">
      <c r="A156">
        <f t="shared" si="2"/>
        <v>3.8000000000000012</v>
      </c>
      <c r="B156">
        <f t="shared" si="1"/>
        <v>0.80000000000000115</v>
      </c>
      <c r="C156">
        <f t="shared" si="4"/>
        <v>2.3435714285714333</v>
      </c>
      <c r="D156">
        <f t="shared" si="4"/>
        <v>2.3315714285714328</v>
      </c>
      <c r="E156">
        <f t="shared" si="4"/>
        <v>2.4434285714285759</v>
      </c>
      <c r="G156">
        <f>+O$152+O$153*$B156+O$154*$B156^2+O$155*$B156^3</f>
        <v>2.4022857142857195</v>
      </c>
      <c r="I156">
        <f>+P$124+P$125*$B156+P$126*$B156^2+P$127*$B156^3</f>
        <v>0</v>
      </c>
      <c r="J156">
        <f>+J151+1</f>
        <v>4</v>
      </c>
      <c r="L156" s="3" t="s">
        <v>107</v>
      </c>
      <c r="M156" s="3" t="s">
        <v>108</v>
      </c>
      <c r="N156" s="3" t="s">
        <v>109</v>
      </c>
      <c r="O156" s="3" t="s">
        <v>110</v>
      </c>
    </row>
    <row r="157" spans="1:15" x14ac:dyDescent="0.2">
      <c r="A157">
        <f t="shared" si="2"/>
        <v>4.0000000000000009</v>
      </c>
      <c r="B157">
        <f t="shared" si="1"/>
        <v>0</v>
      </c>
      <c r="C157">
        <f t="shared" ref="C157:E162" si="5">+L$157+L$158*$B157+L$159*$B157^2+L$160*$B157^3</f>
        <v>3</v>
      </c>
      <c r="D157">
        <f t="shared" si="5"/>
        <v>3</v>
      </c>
      <c r="E157">
        <f t="shared" si="5"/>
        <v>3</v>
      </c>
      <c r="G157">
        <f t="shared" ref="G157:G162" si="6">+O$157+O$158*$B157+O$159*$B157^2+O$160*$B157^3</f>
        <v>3</v>
      </c>
      <c r="I157">
        <f t="shared" ref="I157:I165" si="7">+P$129+P$130*$B157+P$131*$B157^2+P$132*$B157^3</f>
        <v>0</v>
      </c>
      <c r="J157" s="3" t="s">
        <v>98</v>
      </c>
      <c r="K157">
        <v>1</v>
      </c>
      <c r="L157">
        <f>INDEX($B$51:$E$54,$J156,$K157)</f>
        <v>3</v>
      </c>
      <c r="M157">
        <f>INDEX($B$65:$E$68,$J156,$K157)</f>
        <v>3</v>
      </c>
      <c r="N157">
        <f>INDEX($B$79:$E$82,$J156,$K157)</f>
        <v>3</v>
      </c>
      <c r="O157">
        <f>INDEX($B$93:$E$96,$J156,$K157)</f>
        <v>3</v>
      </c>
    </row>
    <row r="158" spans="1:15" x14ac:dyDescent="0.2">
      <c r="A158">
        <f t="shared" si="2"/>
        <v>4.2000000000000011</v>
      </c>
      <c r="B158">
        <f t="shared" si="1"/>
        <v>0.20000000000000107</v>
      </c>
      <c r="C158">
        <f t="shared" si="5"/>
        <v>3.2898571428571435</v>
      </c>
      <c r="D158">
        <f t="shared" si="5"/>
        <v>3.3098571428571435</v>
      </c>
      <c r="E158">
        <f t="shared" si="5"/>
        <v>3.1102857142857139</v>
      </c>
      <c r="G158">
        <f t="shared" si="6"/>
        <v>3.1788571428571428</v>
      </c>
      <c r="I158">
        <f t="shared" si="7"/>
        <v>0</v>
      </c>
      <c r="J158" s="3" t="s">
        <v>0</v>
      </c>
      <c r="K158">
        <v>2</v>
      </c>
      <c r="L158">
        <f>INDEX($B$51:$E$54,$J156,$K158)</f>
        <v>2.401785714285714</v>
      </c>
      <c r="M158">
        <f>INDEX($B$65:$E$68,$J156,$K158)</f>
        <v>2.4851190476190474</v>
      </c>
      <c r="N158">
        <f>INDEX($B$79:$E$82,$J156,$K158)</f>
        <v>1.6741071428571428</v>
      </c>
      <c r="O158">
        <f>INDEX($B$93:$E$96,$J156,$K158)</f>
        <v>1.9598214285714279</v>
      </c>
    </row>
    <row r="159" spans="1:15" x14ac:dyDescent="0.2">
      <c r="A159">
        <f t="shared" si="2"/>
        <v>4.4000000000000012</v>
      </c>
      <c r="B159">
        <f t="shared" si="1"/>
        <v>0.40000000000000124</v>
      </c>
      <c r="C159">
        <f t="shared" si="5"/>
        <v>3.2531428571428558</v>
      </c>
      <c r="D159">
        <f t="shared" si="5"/>
        <v>3.2931428571428563</v>
      </c>
      <c r="E159">
        <f t="shared" si="5"/>
        <v>2.8890714285714267</v>
      </c>
      <c r="G159">
        <f t="shared" si="6"/>
        <v>3.0262142857142837</v>
      </c>
      <c r="I159">
        <f t="shared" si="7"/>
        <v>0</v>
      </c>
      <c r="J159" s="3" t="s">
        <v>3</v>
      </c>
      <c r="K159">
        <v>3</v>
      </c>
      <c r="L159">
        <f>INDEX($B$51:$E$54,$J156,$K159)</f>
        <v>-5.1026785714285712</v>
      </c>
      <c r="M159">
        <f>INDEX($B$65:$E$68,$J156,$K159)</f>
        <v>-4.9776785714285712</v>
      </c>
      <c r="N159">
        <f>INDEX($B$79:$E$82,$J156,$K159)</f>
        <v>-6.3482142857142856</v>
      </c>
      <c r="O159">
        <f>INDEX($B$93:$E$96,$J156,$K159)</f>
        <v>-5.9196428571428568</v>
      </c>
    </row>
    <row r="160" spans="1:15" x14ac:dyDescent="0.2">
      <c r="A160">
        <f t="shared" si="2"/>
        <v>4.6000000000000014</v>
      </c>
      <c r="B160">
        <f t="shared" si="1"/>
        <v>0.60000000000000142</v>
      </c>
      <c r="C160">
        <f t="shared" si="5"/>
        <v>2.9714999999999971</v>
      </c>
      <c r="D160">
        <f t="shared" si="5"/>
        <v>3.0214999999999979</v>
      </c>
      <c r="E160">
        <f t="shared" si="5"/>
        <v>2.5127142857142832</v>
      </c>
      <c r="G160">
        <f t="shared" si="6"/>
        <v>2.6841428571428532</v>
      </c>
      <c r="I160">
        <f t="shared" si="7"/>
        <v>0</v>
      </c>
      <c r="J160" s="3" t="s">
        <v>2</v>
      </c>
      <c r="K160">
        <v>4</v>
      </c>
      <c r="L160">
        <f>INDEX($B$51:$E$54,$J156,$K160)</f>
        <v>1.700892857142857</v>
      </c>
      <c r="M160">
        <f>INDEX($B$65:$E$68,$J156,$K160)</f>
        <v>1.4925595238095237</v>
      </c>
      <c r="N160">
        <f>INDEX($B$79:$E$82,$J156,$K160)</f>
        <v>3.6741071428571423</v>
      </c>
      <c r="O160">
        <f>INDEX($B$93:$E$96,$J156,$K160)</f>
        <v>2.9598214285714284</v>
      </c>
    </row>
    <row r="161" spans="1:15" x14ac:dyDescent="0.2">
      <c r="A161">
        <v>4.8</v>
      </c>
      <c r="B161">
        <f t="shared" si="1"/>
        <v>0.79999999999999982</v>
      </c>
      <c r="C161">
        <f t="shared" si="5"/>
        <v>2.5265714285714291</v>
      </c>
      <c r="D161">
        <f t="shared" si="5"/>
        <v>2.5665714285714287</v>
      </c>
      <c r="E161">
        <f t="shared" si="5"/>
        <v>2.1575714285714289</v>
      </c>
      <c r="G161">
        <f t="shared" si="6"/>
        <v>2.2947142857142859</v>
      </c>
      <c r="I161">
        <f t="shared" si="7"/>
        <v>0</v>
      </c>
    </row>
    <row r="162" spans="1:15" x14ac:dyDescent="0.2">
      <c r="A162">
        <v>5</v>
      </c>
      <c r="B162">
        <v>1</v>
      </c>
      <c r="C162">
        <f t="shared" si="5"/>
        <v>1.9999999999999993</v>
      </c>
      <c r="D162">
        <f t="shared" si="5"/>
        <v>2</v>
      </c>
      <c r="E162">
        <f t="shared" si="5"/>
        <v>1.9999999999999991</v>
      </c>
      <c r="G162">
        <f t="shared" si="6"/>
        <v>1.9999999999999996</v>
      </c>
      <c r="I162">
        <f t="shared" si="7"/>
        <v>0</v>
      </c>
      <c r="L162">
        <f>+C162</f>
        <v>1.9999999999999993</v>
      </c>
      <c r="M162">
        <f>+D162</f>
        <v>2</v>
      </c>
      <c r="N162">
        <f>+E162</f>
        <v>1.9999999999999991</v>
      </c>
      <c r="O162">
        <f>+G162</f>
        <v>1.9999999999999996</v>
      </c>
    </row>
    <row r="163" spans="1:15" x14ac:dyDescent="0.2">
      <c r="A163">
        <f>+A162+$A$140</f>
        <v>5.2</v>
      </c>
      <c r="B163">
        <f>+A163-4</f>
        <v>1.2000000000000002</v>
      </c>
      <c r="C163">
        <f t="shared" ref="C163:E165" si="8">+C$162+($B163-1)*L$163</f>
        <v>1.4598214285714275</v>
      </c>
      <c r="D163">
        <f t="shared" si="8"/>
        <v>1.4014880952380948</v>
      </c>
      <c r="E163">
        <f t="shared" si="8"/>
        <v>1.9999999999999991</v>
      </c>
      <c r="G163">
        <f>+G$162+($B163-1)*O$163</f>
        <v>1.7999999999999992</v>
      </c>
      <c r="I163">
        <f t="shared" si="7"/>
        <v>0</v>
      </c>
      <c r="L163">
        <f>3*L160+2*L159+L158</f>
        <v>-2.7008928571428572</v>
      </c>
      <c r="M163">
        <f>3*M160+2*M159+M158</f>
        <v>-2.9925595238095237</v>
      </c>
      <c r="N163">
        <f>3*N160+2*N159+N158</f>
        <v>0</v>
      </c>
      <c r="O163">
        <f>3*O160+2*O159+O158</f>
        <v>-1.0000000000000009</v>
      </c>
    </row>
    <row r="164" spans="1:15" x14ac:dyDescent="0.2">
      <c r="A164">
        <f>+A163+$A$140</f>
        <v>5.4</v>
      </c>
      <c r="B164">
        <f>+A164-4</f>
        <v>1.4000000000000004</v>
      </c>
      <c r="C164">
        <f t="shared" si="8"/>
        <v>0.91964285714285543</v>
      </c>
      <c r="D164">
        <f t="shared" si="8"/>
        <v>0.8029761904761894</v>
      </c>
      <c r="E164">
        <f t="shared" si="8"/>
        <v>1.9999999999999991</v>
      </c>
      <c r="G164">
        <f>+G$162+($B164-1)*O$163</f>
        <v>1.5999999999999988</v>
      </c>
      <c r="I164">
        <f t="shared" si="7"/>
        <v>0</v>
      </c>
      <c r="L164">
        <v>0</v>
      </c>
      <c r="M164">
        <v>0</v>
      </c>
    </row>
    <row r="165" spans="1:15" x14ac:dyDescent="0.2">
      <c r="A165">
        <f>+A164+$A$140</f>
        <v>5.6000000000000005</v>
      </c>
      <c r="B165">
        <f>+A165-4</f>
        <v>1.6000000000000005</v>
      </c>
      <c r="C165">
        <f t="shared" si="8"/>
        <v>0.37946428571428359</v>
      </c>
      <c r="D165">
        <f t="shared" si="8"/>
        <v>0.20446428571428421</v>
      </c>
      <c r="E165">
        <f t="shared" si="8"/>
        <v>1.9999999999999991</v>
      </c>
      <c r="G165">
        <f>+G$162+($B165-1)*O$163</f>
        <v>1.3999999999999986</v>
      </c>
      <c r="I165">
        <f t="shared" si="7"/>
        <v>0</v>
      </c>
      <c r="L165">
        <v>0</v>
      </c>
      <c r="M165">
        <v>0</v>
      </c>
    </row>
    <row r="167" spans="1:15" x14ac:dyDescent="0.2">
      <c r="C167">
        <f>(C162-C161)/($B162-$B161)</f>
        <v>-2.6328571428571466</v>
      </c>
      <c r="D167">
        <f>(D162-D161)/($B162-$B161)</f>
        <v>-2.832857142857141</v>
      </c>
      <c r="E167">
        <f>(E162-E161)/($B162-$B161)</f>
        <v>-0.78785714285714836</v>
      </c>
      <c r="G167">
        <f>(G162-G161)/($B162-$B161)</f>
        <v>-1.4735714285714305</v>
      </c>
      <c r="I167">
        <f>(I162-I161)/($B162-$B161)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3"/>
  <sheetViews>
    <sheetView workbookViewId="0">
      <selection activeCell="E30" sqref="E30"/>
    </sheetView>
  </sheetViews>
  <sheetFormatPr defaultRowHeight="12.75" x14ac:dyDescent="0.2"/>
  <cols>
    <col min="1" max="1" width="20.28515625" customWidth="1"/>
    <col min="5" max="5" width="12.42578125" bestFit="1" customWidth="1"/>
    <col min="6" max="6" width="9.28515625" bestFit="1" customWidth="1"/>
    <col min="8" max="8" width="12.42578125" bestFit="1" customWidth="1"/>
  </cols>
  <sheetData>
    <row r="1" spans="1:2" ht="15" x14ac:dyDescent="0.25">
      <c r="A1" s="9" t="s">
        <v>161</v>
      </c>
    </row>
    <row r="3" spans="1:2" x14ac:dyDescent="0.2">
      <c r="A3" s="3" t="s">
        <v>162</v>
      </c>
    </row>
    <row r="5" spans="1:2" x14ac:dyDescent="0.2">
      <c r="A5" s="4" t="s">
        <v>164</v>
      </c>
    </row>
    <row r="6" spans="1:2" x14ac:dyDescent="0.2">
      <c r="A6" s="4" t="s">
        <v>139</v>
      </c>
    </row>
    <row r="7" spans="1:2" x14ac:dyDescent="0.2">
      <c r="A7" s="4" t="s">
        <v>165</v>
      </c>
    </row>
    <row r="8" spans="1:2" x14ac:dyDescent="0.2">
      <c r="A8" s="6" t="s">
        <v>166</v>
      </c>
    </row>
    <row r="9" spans="1:2" x14ac:dyDescent="0.2">
      <c r="A9" s="3" t="s">
        <v>163</v>
      </c>
    </row>
    <row r="10" spans="1:2" x14ac:dyDescent="0.2">
      <c r="A10" s="3" t="s">
        <v>167</v>
      </c>
    </row>
    <row r="12" spans="1:2" x14ac:dyDescent="0.2">
      <c r="A12" s="3" t="s">
        <v>168</v>
      </c>
    </row>
    <row r="14" spans="1:2" x14ac:dyDescent="0.2">
      <c r="A14" s="10" t="s">
        <v>169</v>
      </c>
    </row>
    <row r="15" spans="1:2" ht="15" x14ac:dyDescent="0.25">
      <c r="A15" s="46" t="s">
        <v>5</v>
      </c>
    </row>
    <row r="16" spans="1:2" x14ac:dyDescent="0.2">
      <c r="A16" s="3" t="s">
        <v>6</v>
      </c>
      <c r="B16" s="4" t="s">
        <v>14</v>
      </c>
    </row>
    <row r="17" spans="1:7" x14ac:dyDescent="0.2">
      <c r="A17" s="4" t="s">
        <v>131</v>
      </c>
      <c r="B17" s="3" t="s">
        <v>174</v>
      </c>
    </row>
    <row r="18" spans="1:7" x14ac:dyDescent="0.2">
      <c r="A18" s="4" t="s">
        <v>170</v>
      </c>
      <c r="B18" s="6" t="s">
        <v>171</v>
      </c>
    </row>
    <row r="19" spans="1:7" x14ac:dyDescent="0.2">
      <c r="A19" s="3"/>
      <c r="B19" s="6" t="s">
        <v>172</v>
      </c>
    </row>
    <row r="20" spans="1:7" x14ac:dyDescent="0.2">
      <c r="A20" s="3" t="s">
        <v>127</v>
      </c>
      <c r="B20" s="4" t="s">
        <v>128</v>
      </c>
    </row>
    <row r="21" spans="1:7" x14ac:dyDescent="0.2">
      <c r="A21" s="3"/>
      <c r="B21" s="4" t="s">
        <v>129</v>
      </c>
    </row>
    <row r="22" spans="1:7" x14ac:dyDescent="0.2">
      <c r="A22" s="3" t="s">
        <v>130</v>
      </c>
      <c r="B22" s="4" t="s">
        <v>173</v>
      </c>
    </row>
    <row r="23" spans="1:7" x14ac:dyDescent="0.2">
      <c r="A23" s="3" t="s">
        <v>176</v>
      </c>
      <c r="B23" s="6" t="s">
        <v>178</v>
      </c>
    </row>
    <row r="24" spans="1:7" x14ac:dyDescent="0.2">
      <c r="A24" s="3"/>
      <c r="B24" s="6" t="s">
        <v>177</v>
      </c>
    </row>
    <row r="25" spans="1:7" x14ac:dyDescent="0.2">
      <c r="A25" s="3"/>
      <c r="B25" s="6"/>
    </row>
    <row r="26" spans="1:7" ht="15" x14ac:dyDescent="0.25">
      <c r="A26" s="9" t="s">
        <v>71</v>
      </c>
      <c r="B26" s="3"/>
    </row>
    <row r="27" spans="1:7" x14ac:dyDescent="0.2">
      <c r="A27" s="10" t="s">
        <v>175</v>
      </c>
    </row>
    <row r="28" spans="1:7" x14ac:dyDescent="0.2">
      <c r="A28" s="10"/>
      <c r="C28" s="3"/>
    </row>
    <row r="29" spans="1:7" x14ac:dyDescent="0.2">
      <c r="A29" s="178" t="s">
        <v>179</v>
      </c>
      <c r="C29" s="3"/>
    </row>
    <row r="30" spans="1:7" x14ac:dyDescent="0.2">
      <c r="A30" s="178" t="s">
        <v>180</v>
      </c>
      <c r="B30">
        <v>5</v>
      </c>
      <c r="C30" s="3" t="s">
        <v>181</v>
      </c>
      <c r="E30" s="25" t="e">
        <f t="array" aca="1" ref="E30" ca="1">csarea(B35:B55,C35:C55)</f>
        <v>#NAME?</v>
      </c>
    </row>
    <row r="31" spans="1:7" x14ac:dyDescent="0.2">
      <c r="A31" s="178"/>
      <c r="C31" s="3" t="s">
        <v>182</v>
      </c>
      <c r="E31" s="25">
        <f>PI()*B30^2/2</f>
        <v>39.269908169872416</v>
      </c>
    </row>
    <row r="32" spans="1:7" x14ac:dyDescent="0.2">
      <c r="A32" s="178"/>
      <c r="C32" s="3" t="s">
        <v>183</v>
      </c>
      <c r="E32" s="25" t="e">
        <f ca="1">+E30-E31</f>
        <v>#NAME?</v>
      </c>
      <c r="F32" s="24"/>
      <c r="G32" s="24"/>
    </row>
    <row r="33" spans="1:8" x14ac:dyDescent="0.2">
      <c r="A33" s="10">
        <f>PI()/20</f>
        <v>0.15707963267948966</v>
      </c>
      <c r="C33" s="3"/>
    </row>
    <row r="34" spans="1:8" x14ac:dyDescent="0.2">
      <c r="A34" s="3" t="s">
        <v>184</v>
      </c>
      <c r="B34" s="3" t="s">
        <v>24</v>
      </c>
      <c r="C34" s="3" t="s">
        <v>25</v>
      </c>
      <c r="E34" s="31"/>
    </row>
    <row r="35" spans="1:8" x14ac:dyDescent="0.2">
      <c r="A35">
        <f>PI()</f>
        <v>3.1415926535897931</v>
      </c>
      <c r="B35" s="31">
        <f>+$B$30*COS(A35)</f>
        <v>-5</v>
      </c>
      <c r="C35" s="31">
        <f>+$B$30*SIN(A35)</f>
        <v>6.1257422745431001E-16</v>
      </c>
      <c r="E35" s="31"/>
      <c r="H35" s="31"/>
    </row>
    <row r="36" spans="1:8" x14ac:dyDescent="0.2">
      <c r="A36">
        <f>+A35-$A$33</f>
        <v>2.9845130209103035</v>
      </c>
      <c r="B36" s="31">
        <f t="shared" ref="B36:B55" si="0">+$B$30*COS(A36)</f>
        <v>-4.9384417029756884</v>
      </c>
      <c r="C36" s="31">
        <f t="shared" ref="C36:C55" si="1">+$B$30*SIN(A36)</f>
        <v>0.78217232520115487</v>
      </c>
      <c r="E36" s="31"/>
      <c r="H36" s="31"/>
    </row>
    <row r="37" spans="1:8" x14ac:dyDescent="0.2">
      <c r="A37">
        <f t="shared" ref="A37:A55" si="2">+A36-$A$33</f>
        <v>2.8274333882308138</v>
      </c>
      <c r="B37" s="31">
        <f t="shared" si="0"/>
        <v>-4.7552825814757673</v>
      </c>
      <c r="C37" s="31">
        <f t="shared" si="1"/>
        <v>1.5450849718747375</v>
      </c>
      <c r="E37" s="31"/>
      <c r="H37" s="31"/>
    </row>
    <row r="38" spans="1:8" x14ac:dyDescent="0.2">
      <c r="A38">
        <f t="shared" si="2"/>
        <v>2.6703537555513241</v>
      </c>
      <c r="B38" s="31">
        <f t="shared" si="0"/>
        <v>-4.4550326209418394</v>
      </c>
      <c r="C38" s="31">
        <f t="shared" si="1"/>
        <v>2.2699524986977342</v>
      </c>
      <c r="E38" s="31"/>
      <c r="H38" s="31"/>
    </row>
    <row r="39" spans="1:8" x14ac:dyDescent="0.2">
      <c r="A39">
        <f t="shared" si="2"/>
        <v>2.5132741228718345</v>
      </c>
      <c r="B39" s="31">
        <f t="shared" si="0"/>
        <v>-4.0450849718747364</v>
      </c>
      <c r="C39" s="31">
        <f t="shared" si="1"/>
        <v>2.9389262614623664</v>
      </c>
      <c r="E39" s="31"/>
      <c r="H39" s="31"/>
    </row>
    <row r="40" spans="1:8" x14ac:dyDescent="0.2">
      <c r="A40">
        <f t="shared" si="2"/>
        <v>2.3561944901923448</v>
      </c>
      <c r="B40" s="31">
        <f t="shared" si="0"/>
        <v>-3.5355339059327373</v>
      </c>
      <c r="C40" s="31">
        <f t="shared" si="1"/>
        <v>3.5355339059327378</v>
      </c>
      <c r="E40" s="31"/>
      <c r="H40" s="31"/>
    </row>
    <row r="41" spans="1:8" x14ac:dyDescent="0.2">
      <c r="A41">
        <f t="shared" si="2"/>
        <v>2.1991148575128552</v>
      </c>
      <c r="B41" s="31">
        <f t="shared" si="0"/>
        <v>-2.938926261462365</v>
      </c>
      <c r="C41" s="31">
        <f t="shared" si="1"/>
        <v>4.0450849718747373</v>
      </c>
      <c r="E41" s="31"/>
      <c r="H41" s="31"/>
    </row>
    <row r="42" spans="1:8" x14ac:dyDescent="0.2">
      <c r="A42">
        <f t="shared" si="2"/>
        <v>2.0420352248333655</v>
      </c>
      <c r="B42" s="31">
        <f t="shared" si="0"/>
        <v>-2.2699524986977333</v>
      </c>
      <c r="C42" s="31">
        <f t="shared" si="1"/>
        <v>4.4550326209418394</v>
      </c>
      <c r="E42" s="31"/>
      <c r="H42" s="31"/>
    </row>
    <row r="43" spans="1:8" x14ac:dyDescent="0.2">
      <c r="A43">
        <f t="shared" si="2"/>
        <v>1.8849555921538759</v>
      </c>
      <c r="B43" s="31">
        <f t="shared" si="0"/>
        <v>-1.5450849718747368</v>
      </c>
      <c r="C43" s="31">
        <f t="shared" si="1"/>
        <v>4.7552825814757682</v>
      </c>
      <c r="E43" s="31"/>
      <c r="H43" s="31"/>
    </row>
    <row r="44" spans="1:8" x14ac:dyDescent="0.2">
      <c r="A44">
        <f t="shared" si="2"/>
        <v>1.7278759594743862</v>
      </c>
      <c r="B44" s="31">
        <f t="shared" si="0"/>
        <v>-0.78217232520115409</v>
      </c>
      <c r="C44" s="31">
        <f t="shared" si="1"/>
        <v>4.9384417029756893</v>
      </c>
      <c r="E44" s="31"/>
      <c r="H44" s="31"/>
    </row>
    <row r="45" spans="1:8" x14ac:dyDescent="0.2">
      <c r="A45">
        <f t="shared" si="2"/>
        <v>1.5707963267948966</v>
      </c>
      <c r="B45" s="31">
        <f t="shared" si="0"/>
        <v>3.06287113727155E-16</v>
      </c>
      <c r="C45" s="31">
        <f t="shared" si="1"/>
        <v>5</v>
      </c>
      <c r="E45" s="31"/>
      <c r="H45" s="31"/>
    </row>
    <row r="46" spans="1:8" x14ac:dyDescent="0.2">
      <c r="A46">
        <f t="shared" si="2"/>
        <v>1.4137166941154069</v>
      </c>
      <c r="B46" s="31">
        <f t="shared" si="0"/>
        <v>0.78217232520115465</v>
      </c>
      <c r="C46" s="31">
        <f t="shared" si="1"/>
        <v>4.9384417029756893</v>
      </c>
      <c r="E46" s="31"/>
      <c r="H46" s="31"/>
    </row>
    <row r="47" spans="1:8" x14ac:dyDescent="0.2">
      <c r="A47">
        <f t="shared" si="2"/>
        <v>1.2566370614359172</v>
      </c>
      <c r="B47" s="31">
        <f t="shared" si="0"/>
        <v>1.5450849718747373</v>
      </c>
      <c r="C47" s="31">
        <f t="shared" si="1"/>
        <v>4.7552825814757673</v>
      </c>
      <c r="E47" s="31"/>
      <c r="H47" s="31"/>
    </row>
    <row r="48" spans="1:8" x14ac:dyDescent="0.2">
      <c r="A48">
        <f t="shared" si="2"/>
        <v>1.0995574287564276</v>
      </c>
      <c r="B48" s="31">
        <f t="shared" si="0"/>
        <v>2.2699524986977342</v>
      </c>
      <c r="C48" s="31">
        <f t="shared" si="1"/>
        <v>4.4550326209418394</v>
      </c>
      <c r="E48" s="31"/>
      <c r="H48" s="31"/>
    </row>
    <row r="49" spans="1:8" x14ac:dyDescent="0.2">
      <c r="A49">
        <f t="shared" si="2"/>
        <v>0.94247779607693793</v>
      </c>
      <c r="B49" s="31">
        <f t="shared" si="0"/>
        <v>2.9389262614623659</v>
      </c>
      <c r="C49" s="31">
        <f t="shared" si="1"/>
        <v>4.0450849718747373</v>
      </c>
      <c r="E49" s="31"/>
      <c r="H49" s="31"/>
    </row>
    <row r="50" spans="1:8" x14ac:dyDescent="0.2">
      <c r="A50">
        <f t="shared" si="2"/>
        <v>0.78539816339744828</v>
      </c>
      <c r="B50" s="31">
        <f t="shared" si="0"/>
        <v>3.5355339059327378</v>
      </c>
      <c r="C50" s="31">
        <f t="shared" si="1"/>
        <v>3.5355339059327373</v>
      </c>
      <c r="E50" s="31"/>
      <c r="H50" s="31"/>
    </row>
    <row r="51" spans="1:8" x14ac:dyDescent="0.2">
      <c r="A51">
        <f t="shared" si="2"/>
        <v>0.62831853071795862</v>
      </c>
      <c r="B51" s="31">
        <f t="shared" si="0"/>
        <v>4.0450849718747373</v>
      </c>
      <c r="C51" s="31">
        <f t="shared" si="1"/>
        <v>2.9389262614623659</v>
      </c>
      <c r="E51" s="31"/>
      <c r="H51" s="31"/>
    </row>
    <row r="52" spans="1:8" x14ac:dyDescent="0.2">
      <c r="A52">
        <f t="shared" si="2"/>
        <v>0.47123889803846897</v>
      </c>
      <c r="B52" s="31">
        <f t="shared" si="0"/>
        <v>4.4550326209418394</v>
      </c>
      <c r="C52" s="31">
        <f t="shared" si="1"/>
        <v>2.2699524986977337</v>
      </c>
      <c r="E52" s="31"/>
      <c r="H52" s="31"/>
    </row>
    <row r="53" spans="1:8" x14ac:dyDescent="0.2">
      <c r="A53">
        <f t="shared" si="2"/>
        <v>0.31415926535897931</v>
      </c>
      <c r="B53" s="31">
        <f t="shared" si="0"/>
        <v>4.7552825814757673</v>
      </c>
      <c r="C53" s="31">
        <f t="shared" si="1"/>
        <v>1.545084971874737</v>
      </c>
      <c r="E53" s="31"/>
      <c r="H53" s="31"/>
    </row>
    <row r="54" spans="1:8" x14ac:dyDescent="0.2">
      <c r="A54">
        <f t="shared" si="2"/>
        <v>0.15707963267948966</v>
      </c>
      <c r="B54" s="31">
        <f t="shared" si="0"/>
        <v>4.9384417029756893</v>
      </c>
      <c r="C54" s="31">
        <f t="shared" si="1"/>
        <v>0.78217232520115432</v>
      </c>
      <c r="E54" s="31"/>
      <c r="H54" s="31"/>
    </row>
    <row r="55" spans="1:8" x14ac:dyDescent="0.2">
      <c r="A55">
        <f t="shared" si="2"/>
        <v>0</v>
      </c>
      <c r="B55" s="31">
        <f t="shared" si="0"/>
        <v>5</v>
      </c>
      <c r="C55" s="31">
        <f t="shared" si="1"/>
        <v>0</v>
      </c>
      <c r="E55" s="31"/>
      <c r="H55" s="31"/>
    </row>
    <row r="83" spans="2:2" x14ac:dyDescent="0.2">
      <c r="B8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4"/>
  <sheetViews>
    <sheetView zoomScaleNormal="100" workbookViewId="0">
      <pane ySplit="9765" topLeftCell="A63"/>
      <selection activeCell="B16" sqref="B16"/>
      <selection pane="bottomLeft" activeCell="B63" sqref="B63"/>
    </sheetView>
  </sheetViews>
  <sheetFormatPr defaultRowHeight="12.75" x14ac:dyDescent="0.2"/>
  <cols>
    <col min="1" max="1" width="5.28515625" customWidth="1"/>
    <col min="2" max="2" width="9.7109375" customWidth="1"/>
    <col min="3" max="3" width="11.7109375" customWidth="1"/>
    <col min="4" max="4" width="11.140625" customWidth="1"/>
    <col min="5" max="5" width="10.85546875" customWidth="1"/>
    <col min="6" max="6" width="10.42578125" customWidth="1"/>
    <col min="7" max="7" width="11" customWidth="1"/>
  </cols>
  <sheetData>
    <row r="1" spans="1:10" ht="15" x14ac:dyDescent="0.25">
      <c r="A1" s="197" t="s">
        <v>246</v>
      </c>
      <c r="B1" s="198"/>
      <c r="C1" s="198"/>
      <c r="D1" s="198"/>
      <c r="E1" s="198"/>
      <c r="F1" s="198"/>
      <c r="G1" s="198"/>
      <c r="H1" s="198"/>
      <c r="I1" s="198"/>
      <c r="J1" s="198"/>
    </row>
    <row r="2" spans="1:10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</row>
    <row r="3" spans="1:10" x14ac:dyDescent="0.2">
      <c r="A3" s="199" t="s">
        <v>247</v>
      </c>
      <c r="B3" s="198"/>
      <c r="C3" s="198"/>
      <c r="D3" s="198"/>
      <c r="E3" s="198"/>
      <c r="F3" s="198"/>
      <c r="G3" s="198"/>
      <c r="H3" s="198"/>
      <c r="I3" s="198"/>
      <c r="J3" s="198"/>
    </row>
    <row r="4" spans="1:10" x14ac:dyDescent="0.2">
      <c r="A4" s="198"/>
      <c r="B4" s="199" t="s">
        <v>278</v>
      </c>
      <c r="C4" s="198"/>
      <c r="D4" s="198"/>
      <c r="E4" s="198"/>
      <c r="F4" s="198"/>
      <c r="G4" s="198"/>
      <c r="H4" s="198"/>
      <c r="I4" s="198"/>
      <c r="J4" s="198"/>
    </row>
    <row r="5" spans="1:10" x14ac:dyDescent="0.2">
      <c r="A5" s="198"/>
      <c r="B5" s="239" t="s">
        <v>248</v>
      </c>
      <c r="C5" s="219" t="s">
        <v>249</v>
      </c>
      <c r="D5" s="198"/>
      <c r="E5" s="198"/>
      <c r="F5" s="198"/>
      <c r="G5" s="198"/>
      <c r="H5" s="198"/>
      <c r="I5" s="198"/>
      <c r="J5" s="198"/>
    </row>
    <row r="6" spans="1:10" x14ac:dyDescent="0.2">
      <c r="A6" s="198"/>
      <c r="B6" s="243">
        <v>15</v>
      </c>
      <c r="C6" s="244">
        <v>6.2</v>
      </c>
      <c r="D6" s="198" t="s">
        <v>286</v>
      </c>
      <c r="E6" s="198"/>
      <c r="F6" s="198"/>
      <c r="G6" s="198"/>
      <c r="H6" s="198"/>
      <c r="I6" s="198"/>
      <c r="J6" s="198"/>
    </row>
    <row r="7" spans="1:10" x14ac:dyDescent="0.2">
      <c r="A7" s="198"/>
      <c r="B7" s="240">
        <v>20</v>
      </c>
      <c r="C7" s="236">
        <v>5.2</v>
      </c>
      <c r="D7" s="198"/>
      <c r="E7" s="198"/>
      <c r="F7" s="198"/>
      <c r="G7" s="198"/>
      <c r="H7" s="198"/>
      <c r="I7" s="198"/>
      <c r="J7" s="198"/>
    </row>
    <row r="8" spans="1:10" x14ac:dyDescent="0.2">
      <c r="A8" s="198"/>
      <c r="B8" s="241">
        <v>25</v>
      </c>
      <c r="C8" s="237">
        <v>4.2</v>
      </c>
      <c r="D8" s="198"/>
      <c r="E8" s="198"/>
      <c r="F8" s="198"/>
      <c r="G8" s="198"/>
      <c r="H8" s="198"/>
      <c r="I8" s="198"/>
      <c r="J8" s="198"/>
    </row>
    <row r="9" spans="1:10" x14ac:dyDescent="0.2">
      <c r="A9" s="198"/>
      <c r="B9" s="241">
        <v>32</v>
      </c>
      <c r="C9" s="237">
        <v>3.4</v>
      </c>
      <c r="D9" s="198"/>
      <c r="E9" s="198"/>
      <c r="F9" s="198"/>
      <c r="G9" s="198"/>
      <c r="H9" s="198"/>
      <c r="I9" s="198"/>
      <c r="J9" s="198"/>
    </row>
    <row r="10" spans="1:10" x14ac:dyDescent="0.2">
      <c r="A10" s="198"/>
      <c r="B10" s="241">
        <v>40</v>
      </c>
      <c r="C10" s="237">
        <f>2.8</f>
        <v>2.8</v>
      </c>
      <c r="D10" s="198"/>
      <c r="E10" s="198"/>
      <c r="F10" s="198"/>
      <c r="G10" s="198"/>
      <c r="H10" s="198"/>
      <c r="I10" s="198"/>
      <c r="J10" s="198"/>
    </row>
    <row r="11" spans="1:10" x14ac:dyDescent="0.2">
      <c r="A11" s="198"/>
      <c r="B11" s="241">
        <v>50</v>
      </c>
      <c r="C11" s="237">
        <v>2.4</v>
      </c>
      <c r="D11" s="198"/>
      <c r="E11" s="198"/>
      <c r="F11" s="198"/>
      <c r="G11" s="198"/>
      <c r="H11" s="198"/>
      <c r="I11" s="198"/>
      <c r="J11" s="198"/>
    </row>
    <row r="12" spans="1:10" x14ac:dyDescent="0.2">
      <c r="A12" s="198"/>
      <c r="B12" s="241">
        <v>65</v>
      </c>
      <c r="C12" s="237">
        <v>2</v>
      </c>
      <c r="D12" s="198"/>
      <c r="E12" s="198"/>
      <c r="F12" s="198"/>
      <c r="G12" s="198"/>
      <c r="H12" s="198"/>
      <c r="I12" s="198"/>
      <c r="J12" s="198"/>
    </row>
    <row r="13" spans="1:10" x14ac:dyDescent="0.2">
      <c r="A13" s="198"/>
      <c r="B13" s="241">
        <v>80</v>
      </c>
      <c r="C13" s="237">
        <v>1.7</v>
      </c>
      <c r="D13" s="198"/>
      <c r="E13" s="198"/>
      <c r="F13" s="198"/>
      <c r="G13" s="198"/>
      <c r="H13" s="198"/>
      <c r="I13" s="198"/>
      <c r="J13" s="198"/>
    </row>
    <row r="14" spans="1:10" x14ac:dyDescent="0.2">
      <c r="A14" s="198"/>
      <c r="B14" s="242">
        <v>100</v>
      </c>
      <c r="C14" s="238">
        <v>1.5</v>
      </c>
      <c r="D14" s="198"/>
      <c r="E14" s="198"/>
      <c r="F14" s="198"/>
      <c r="G14" s="198"/>
      <c r="H14" s="198"/>
      <c r="I14" s="198"/>
      <c r="J14" s="198"/>
    </row>
    <row r="15" spans="1:10" x14ac:dyDescent="0.2">
      <c r="A15" s="198"/>
      <c r="B15" s="246">
        <v>120</v>
      </c>
      <c r="C15" s="247">
        <v>1.3</v>
      </c>
      <c r="D15" s="198" t="s">
        <v>286</v>
      </c>
      <c r="E15" s="198"/>
      <c r="F15" s="198"/>
      <c r="G15" s="198"/>
      <c r="H15" s="198"/>
      <c r="I15" s="198"/>
      <c r="J15" s="198"/>
    </row>
    <row r="16" spans="1:10" x14ac:dyDescent="0.2">
      <c r="A16" s="198"/>
      <c r="B16" s="248" t="s">
        <v>287</v>
      </c>
      <c r="C16" s="245"/>
      <c r="D16" s="198"/>
      <c r="E16" s="198"/>
      <c r="F16" s="198"/>
      <c r="G16" s="198"/>
      <c r="H16" s="198"/>
      <c r="I16" s="198"/>
      <c r="J16" s="198"/>
    </row>
    <row r="17" spans="1:10" x14ac:dyDescent="0.2">
      <c r="A17" s="199" t="s">
        <v>250</v>
      </c>
      <c r="B17" s="198"/>
      <c r="C17" s="198"/>
      <c r="D17" s="198"/>
      <c r="E17" s="198"/>
      <c r="F17" s="198"/>
      <c r="G17" s="198"/>
      <c r="H17" s="198"/>
      <c r="I17" s="198"/>
      <c r="J17" s="198"/>
    </row>
    <row r="18" spans="1:10" x14ac:dyDescent="0.2">
      <c r="A18" s="204" t="s">
        <v>273</v>
      </c>
      <c r="B18" s="198" t="s">
        <v>251</v>
      </c>
      <c r="C18" s="198"/>
      <c r="D18" s="198"/>
      <c r="E18" s="198"/>
      <c r="F18" s="198"/>
      <c r="G18" s="198"/>
      <c r="H18" s="198"/>
      <c r="I18" s="198"/>
      <c r="J18" s="198"/>
    </row>
    <row r="19" spans="1:10" x14ac:dyDescent="0.2">
      <c r="A19" s="198">
        <v>60</v>
      </c>
      <c r="B19" s="213">
        <f>MATCH(A19,B7:B14)</f>
        <v>5</v>
      </c>
      <c r="C19" s="198"/>
      <c r="D19" s="198"/>
      <c r="E19" s="198"/>
      <c r="F19" s="198"/>
      <c r="G19" s="198"/>
      <c r="H19" s="198"/>
      <c r="I19" s="198"/>
      <c r="J19" s="198"/>
    </row>
    <row r="20" spans="1:10" x14ac:dyDescent="0.2">
      <c r="A20" s="204" t="s">
        <v>274</v>
      </c>
      <c r="B20" s="200" t="s">
        <v>252</v>
      </c>
      <c r="C20" s="201"/>
      <c r="D20" s="201"/>
      <c r="E20" s="201"/>
      <c r="F20" s="201"/>
      <c r="G20" s="201"/>
      <c r="H20" s="201"/>
      <c r="I20" s="201"/>
      <c r="J20" s="198"/>
    </row>
    <row r="21" spans="1:10" x14ac:dyDescent="0.2">
      <c r="A21" s="198"/>
      <c r="B21" s="200" t="s">
        <v>253</v>
      </c>
      <c r="C21" s="201"/>
      <c r="D21" s="201"/>
      <c r="E21" s="201"/>
      <c r="F21" s="201"/>
      <c r="G21" s="201"/>
      <c r="H21" s="201"/>
      <c r="I21" s="201"/>
      <c r="J21" s="198"/>
    </row>
    <row r="22" spans="1:10" ht="25.5" x14ac:dyDescent="0.2">
      <c r="A22" s="198"/>
      <c r="B22" s="235" t="s">
        <v>280</v>
      </c>
      <c r="C22" s="206"/>
      <c r="D22" s="235" t="s">
        <v>281</v>
      </c>
      <c r="E22" s="206"/>
      <c r="F22" s="198"/>
      <c r="G22" s="198"/>
      <c r="H22" s="198"/>
      <c r="I22" s="198"/>
      <c r="J22" s="198"/>
    </row>
    <row r="23" spans="1:10" x14ac:dyDescent="0.2">
      <c r="A23" s="211">
        <f>B19</f>
        <v>5</v>
      </c>
      <c r="B23" s="207">
        <f>INDEX(B$7:B$14,$A23)</f>
        <v>50</v>
      </c>
      <c r="C23" s="208">
        <f>INDEX(C$7:C$14,$A23)</f>
        <v>2.4</v>
      </c>
      <c r="D23" s="207">
        <f t="array" aca="1" ref="D23:E24" ca="1">OFFSET(B7,A23-1,0,2,2)</f>
        <v>50</v>
      </c>
      <c r="E23" s="208">
        <f ca="1"/>
        <v>2.4</v>
      </c>
      <c r="F23" s="198"/>
      <c r="G23" s="198"/>
      <c r="H23" s="198"/>
      <c r="I23" s="198"/>
      <c r="J23" s="198"/>
    </row>
    <row r="24" spans="1:10" x14ac:dyDescent="0.2">
      <c r="A24" s="212">
        <f>A23+1</f>
        <v>6</v>
      </c>
      <c r="B24" s="209">
        <f>INDEX(B$7:B$14,$A24)</f>
        <v>65</v>
      </c>
      <c r="C24" s="210">
        <f>INDEX(C$7:C$14,$A24)</f>
        <v>2</v>
      </c>
      <c r="D24" s="209">
        <f ca="1"/>
        <v>65</v>
      </c>
      <c r="E24" s="210">
        <f ca="1"/>
        <v>2</v>
      </c>
      <c r="F24" s="198"/>
      <c r="G24" s="198"/>
      <c r="H24" s="198"/>
      <c r="I24" s="198"/>
      <c r="J24" s="198"/>
    </row>
    <row r="25" spans="1:10" x14ac:dyDescent="0.2">
      <c r="A25" s="204" t="s">
        <v>275</v>
      </c>
      <c r="B25" s="198" t="s">
        <v>276</v>
      </c>
      <c r="C25" s="198"/>
      <c r="D25" s="198"/>
      <c r="E25" s="198"/>
      <c r="F25" s="198"/>
      <c r="G25" s="198"/>
      <c r="H25" s="198"/>
      <c r="I25" s="198"/>
      <c r="J25" s="198"/>
    </row>
    <row r="26" spans="1:10" x14ac:dyDescent="0.2">
      <c r="A26" s="198"/>
      <c r="B26" s="198" t="s">
        <v>277</v>
      </c>
      <c r="C26" s="198"/>
      <c r="D26" s="198"/>
      <c r="E26" s="198"/>
      <c r="F26" s="198"/>
      <c r="G26" s="198"/>
      <c r="H26" s="198"/>
      <c r="I26" s="198"/>
      <c r="J26" s="198"/>
    </row>
    <row r="27" spans="1:10" x14ac:dyDescent="0.2">
      <c r="A27" s="198"/>
      <c r="B27" s="213">
        <f>C23+(C24-C23)*(A19-B23)/(B24-B23)</f>
        <v>2.1333333333333333</v>
      </c>
      <c r="C27" s="198"/>
      <c r="D27" s="198"/>
      <c r="E27" s="198"/>
      <c r="F27" s="198"/>
      <c r="G27" s="198"/>
      <c r="H27" s="198"/>
      <c r="I27" s="198"/>
      <c r="J27" s="198"/>
    </row>
    <row r="28" spans="1:10" x14ac:dyDescent="0.2">
      <c r="A28" s="198"/>
      <c r="B28" s="198" t="s">
        <v>254</v>
      </c>
      <c r="C28" s="198"/>
      <c r="D28" s="198"/>
      <c r="E28" s="198"/>
      <c r="F28" s="198"/>
      <c r="G28" s="198"/>
      <c r="H28" s="198"/>
      <c r="I28" s="198"/>
      <c r="J28" s="198"/>
    </row>
    <row r="29" spans="1:10" x14ac:dyDescent="0.2">
      <c r="A29" s="198"/>
      <c r="B29" s="213">
        <f ca="1">TREND(E23:E24,D23:D24,A19)</f>
        <v>2.1333333333333337</v>
      </c>
      <c r="D29" s="198"/>
      <c r="E29" s="198"/>
      <c r="F29" s="198"/>
      <c r="G29" s="198"/>
      <c r="H29" s="198"/>
      <c r="I29" s="198"/>
      <c r="J29" s="198"/>
    </row>
    <row r="30" spans="1:10" x14ac:dyDescent="0.2">
      <c r="A30" s="198"/>
      <c r="B30" s="198"/>
      <c r="C30" s="198"/>
      <c r="D30" s="198"/>
      <c r="E30" s="198"/>
      <c r="F30" s="198"/>
      <c r="G30" s="198"/>
      <c r="H30" s="198"/>
      <c r="I30" s="198"/>
      <c r="J30" s="198"/>
    </row>
    <row r="31" spans="1:10" x14ac:dyDescent="0.2">
      <c r="A31" s="199" t="s">
        <v>282</v>
      </c>
      <c r="B31" s="198"/>
      <c r="C31" s="198"/>
      <c r="D31" s="198"/>
      <c r="E31" s="198"/>
      <c r="F31" s="198"/>
      <c r="G31" s="198"/>
      <c r="H31" s="198"/>
      <c r="I31" s="198"/>
      <c r="J31" s="198"/>
    </row>
    <row r="32" spans="1:10" x14ac:dyDescent="0.2">
      <c r="A32" s="198" t="s">
        <v>285</v>
      </c>
      <c r="B32" s="198"/>
      <c r="C32" s="198"/>
      <c r="D32" s="198"/>
      <c r="E32" s="198"/>
      <c r="F32" s="198"/>
      <c r="G32" s="198"/>
      <c r="H32" s="198"/>
      <c r="I32" s="198"/>
      <c r="J32" s="198"/>
    </row>
    <row r="33" spans="1:10" x14ac:dyDescent="0.2">
      <c r="A33" s="202" t="s">
        <v>255</v>
      </c>
      <c r="B33" s="198"/>
      <c r="C33" s="198"/>
      <c r="D33" s="198"/>
      <c r="E33" s="198"/>
      <c r="F33" s="198"/>
      <c r="G33" s="198"/>
      <c r="H33" s="198"/>
      <c r="I33" s="198"/>
      <c r="J33" s="198"/>
    </row>
    <row r="34" spans="1:10" x14ac:dyDescent="0.2">
      <c r="A34" s="198"/>
      <c r="B34" s="198"/>
      <c r="C34" s="198"/>
      <c r="D34" s="198"/>
      <c r="E34" s="198"/>
      <c r="F34" s="198"/>
      <c r="G34" s="198"/>
      <c r="H34" s="198"/>
      <c r="I34" s="198"/>
      <c r="J34" s="198"/>
    </row>
    <row r="35" spans="1:10" x14ac:dyDescent="0.2">
      <c r="A35" s="199" t="s">
        <v>256</v>
      </c>
      <c r="B35" s="198"/>
      <c r="C35" s="198"/>
      <c r="D35" s="198"/>
      <c r="E35" s="198"/>
      <c r="F35" s="198"/>
      <c r="G35" s="198"/>
      <c r="H35" s="198"/>
      <c r="I35" s="198"/>
      <c r="J35" s="198"/>
    </row>
    <row r="36" spans="1:10" x14ac:dyDescent="0.2">
      <c r="A36" s="198" t="s">
        <v>257</v>
      </c>
      <c r="B36" s="198"/>
      <c r="C36" s="198"/>
      <c r="D36" s="198"/>
      <c r="E36" s="198"/>
      <c r="F36" s="198"/>
      <c r="G36" s="198"/>
      <c r="H36" s="198"/>
      <c r="I36" s="198"/>
      <c r="J36" s="198"/>
    </row>
    <row r="37" spans="1:10" x14ac:dyDescent="0.2">
      <c r="A37" s="198"/>
      <c r="B37" s="213">
        <f>TREND(C7:C14,B7:B14^{1,2,3},A19^{1,2,3})</f>
        <v>2.0029756897870801</v>
      </c>
      <c r="C37" s="198"/>
      <c r="D37" s="198"/>
      <c r="E37" s="198"/>
      <c r="F37" s="198"/>
      <c r="G37" s="198"/>
      <c r="H37" s="198"/>
      <c r="I37" s="198"/>
      <c r="J37" s="198"/>
    </row>
    <row r="38" spans="1:10" x14ac:dyDescent="0.2">
      <c r="A38" s="199" t="s">
        <v>258</v>
      </c>
      <c r="B38" s="198"/>
      <c r="C38" s="198"/>
      <c r="D38" s="198"/>
      <c r="E38" s="198"/>
      <c r="F38" s="198"/>
      <c r="G38" s="198"/>
      <c r="H38" s="198"/>
      <c r="I38" s="198"/>
      <c r="J38" s="198"/>
    </row>
    <row r="39" spans="1:10" x14ac:dyDescent="0.2">
      <c r="A39" s="198" t="s">
        <v>259</v>
      </c>
      <c r="B39" s="198"/>
      <c r="C39" s="198"/>
      <c r="D39" s="198"/>
      <c r="E39" s="198"/>
      <c r="F39" s="198"/>
      <c r="G39" s="198"/>
      <c r="H39" s="198"/>
      <c r="I39" s="198"/>
      <c r="J39" s="198"/>
    </row>
    <row r="40" spans="1:10" x14ac:dyDescent="0.2">
      <c r="A40" s="198" t="s">
        <v>44</v>
      </c>
      <c r="B40" s="213">
        <f>PERCENTILE(C7:C14,1-PERCENTRANK(A7:B14,A19,20))</f>
        <v>2.1333333333333324</v>
      </c>
      <c r="C40" s="198"/>
      <c r="D40" s="198"/>
      <c r="E40" s="198"/>
      <c r="F40" s="198"/>
      <c r="G40" s="198"/>
      <c r="H40" s="198"/>
      <c r="I40" s="198"/>
      <c r="J40" s="198"/>
    </row>
    <row r="41" spans="1:10" x14ac:dyDescent="0.2">
      <c r="A41" s="199" t="s">
        <v>271</v>
      </c>
      <c r="B41" s="198"/>
      <c r="C41" s="198"/>
      <c r="D41" s="198"/>
      <c r="E41" s="198"/>
      <c r="F41" s="198"/>
      <c r="G41" s="198"/>
      <c r="H41" s="198"/>
      <c r="I41" s="198"/>
      <c r="J41" s="198"/>
    </row>
    <row r="42" spans="1:10" x14ac:dyDescent="0.2">
      <c r="A42" s="198" t="s">
        <v>260</v>
      </c>
      <c r="B42" s="198"/>
      <c r="C42" s="198"/>
      <c r="D42" s="198"/>
      <c r="E42" s="198"/>
      <c r="F42" s="198"/>
      <c r="G42" s="198"/>
      <c r="H42" s="198"/>
      <c r="I42" s="198"/>
      <c r="J42" s="198"/>
    </row>
    <row r="43" spans="1:10" x14ac:dyDescent="0.2">
      <c r="A43" s="198" t="s">
        <v>44</v>
      </c>
      <c r="B43" s="213">
        <f ca="1">TREND(OFFSET(C7,MATCH(A19,B7:B14)-2,,4),OFFSET(B7,MATCH(A19,B7:B14)-2,,4)^{1,2,3},A19^{1,2,3})</f>
        <v>2.1144444444444455</v>
      </c>
      <c r="C43" s="198"/>
      <c r="D43" s="198"/>
      <c r="E43" s="198"/>
      <c r="F43" s="198"/>
      <c r="G43" s="198"/>
      <c r="H43" s="198"/>
      <c r="I43" s="198"/>
      <c r="J43" s="198"/>
    </row>
    <row r="44" spans="1:10" x14ac:dyDescent="0.2">
      <c r="A44" s="199" t="s">
        <v>284</v>
      </c>
      <c r="B44" s="198"/>
      <c r="C44" s="198"/>
      <c r="D44" s="198"/>
      <c r="E44" s="198"/>
      <c r="F44" s="198"/>
      <c r="G44" s="198"/>
      <c r="H44" s="198"/>
      <c r="I44" s="198"/>
      <c r="J44" s="198"/>
    </row>
    <row r="45" spans="1:10" x14ac:dyDescent="0.2">
      <c r="A45" s="198" t="s">
        <v>262</v>
      </c>
      <c r="B45" s="198"/>
      <c r="C45" s="198"/>
      <c r="D45" s="198"/>
      <c r="E45" s="198"/>
      <c r="F45" s="198"/>
      <c r="G45" s="198"/>
      <c r="H45" s="198"/>
      <c r="I45" s="198"/>
      <c r="J45" s="198"/>
    </row>
    <row r="46" spans="1:10" x14ac:dyDescent="0.2">
      <c r="A46" s="198" t="s">
        <v>261</v>
      </c>
      <c r="B46" s="198"/>
      <c r="C46" s="198"/>
      <c r="D46" s="198"/>
      <c r="E46" s="198"/>
      <c r="F46" s="198"/>
      <c r="G46" s="198"/>
      <c r="H46" s="198"/>
      <c r="I46" s="198"/>
      <c r="J46" s="198"/>
    </row>
    <row r="47" spans="1:10" x14ac:dyDescent="0.2">
      <c r="A47" s="198"/>
      <c r="B47" s="213">
        <f ca="1">SUM((1+1/IRR(MMULT({0,0,2,0;0,1,0,-1;-1,4,-5,2;1,-3,3,-1},OFFSET(B7,MATCH(A19,B7:B14)-2,,4)-A19 )))^-{0;1;2;3}*MMULT({0,2,0,0;-1,0,1,0;2,-5,4,-1;-1,3,-3,1},OFFSET(C7,MATCH(A19,B7:B14)-2,,4)))/2</f>
        <v>2.1212543823065686</v>
      </c>
      <c r="C47" s="198"/>
      <c r="D47" s="198"/>
      <c r="E47" s="198"/>
      <c r="F47" s="198"/>
      <c r="G47" s="198"/>
      <c r="H47" s="198"/>
      <c r="I47" s="198"/>
      <c r="J47" s="198"/>
    </row>
    <row r="48" spans="1:10" x14ac:dyDescent="0.2">
      <c r="A48" s="198"/>
      <c r="B48" s="198"/>
      <c r="C48" s="198"/>
      <c r="D48" s="198"/>
      <c r="E48" s="198"/>
      <c r="F48" s="198"/>
      <c r="G48" s="198"/>
      <c r="H48" s="198"/>
      <c r="I48" s="198"/>
      <c r="J48" s="198"/>
    </row>
    <row r="49" spans="1:11" x14ac:dyDescent="0.2">
      <c r="A49" s="198" t="s">
        <v>263</v>
      </c>
      <c r="B49" s="198"/>
      <c r="C49" s="198"/>
      <c r="D49" s="198"/>
      <c r="E49" s="198"/>
      <c r="F49" s="198"/>
      <c r="G49" s="198"/>
      <c r="H49" s="198"/>
      <c r="I49" s="198"/>
      <c r="J49" s="198"/>
    </row>
    <row r="50" spans="1:11" x14ac:dyDescent="0.2">
      <c r="A50" s="198"/>
      <c r="B50" s="215"/>
      <c r="C50" s="216" t="s">
        <v>266</v>
      </c>
      <c r="D50" s="206"/>
      <c r="E50" s="198"/>
      <c r="F50" s="205" t="s">
        <v>267</v>
      </c>
      <c r="G50" s="216"/>
      <c r="H50" s="216"/>
      <c r="I50" s="216"/>
      <c r="J50" s="206"/>
    </row>
    <row r="51" spans="1:11" ht="25.5" x14ac:dyDescent="0.2">
      <c r="A51" s="198"/>
      <c r="B51" s="217" t="s">
        <v>248</v>
      </c>
      <c r="C51" s="218" t="s">
        <v>264</v>
      </c>
      <c r="D51" s="219" t="s">
        <v>265</v>
      </c>
      <c r="E51" s="214"/>
      <c r="F51" s="217" t="s">
        <v>268</v>
      </c>
      <c r="G51" s="218" t="s">
        <v>269</v>
      </c>
      <c r="H51" s="230" t="s">
        <v>270</v>
      </c>
      <c r="I51" s="218" t="s">
        <v>272</v>
      </c>
      <c r="J51" s="231" t="s">
        <v>279</v>
      </c>
    </row>
    <row r="52" spans="1:11" x14ac:dyDescent="0.2">
      <c r="A52" s="198"/>
      <c r="B52" s="207">
        <v>20</v>
      </c>
      <c r="C52" s="227" t="e">
        <f t="array" aca="1" ref="C52:C84" ca="1">interpa(B7:C14,B52:B84,1)</f>
        <v>#NAME?</v>
      </c>
      <c r="D52" s="221">
        <f>PERCENTILE($C$7:$C$14,1-PERCENTRANK($A$7:$B$14,B52,20))</f>
        <v>5.2</v>
      </c>
      <c r="E52" s="203"/>
      <c r="F52" s="232" t="e">
        <f t="array" aca="1" ref="F52:F84" ca="1">csplinea(B7:B14,C7:C14,B52:B84)</f>
        <v>#NAME?</v>
      </c>
      <c r="G52" s="227" t="e">
        <f t="array" aca="1" ref="G52:G84" ca="1">cardspline($B$6:$B$15,$C$6:$C$15,$B$52:$B$84,0,"X")</f>
        <v>#NAME?</v>
      </c>
      <c r="H52" s="220">
        <f t="array" ref="H52:H84">TREND(C7:C14,B7:B14^{1,2,3},B52:B84^{1,2,3})</f>
        <v>5.0654344799920334</v>
      </c>
      <c r="I52" s="228">
        <f ca="1">TREND(OFFSET($C$7,MATCH(B52,$B$7:$B$14)-2,,4),OFFSET($B$7,MATCH(B52,$B$7:$B$14)-2,,4)^{1,2,3},B52^{1,2,3})</f>
        <v>5.1999999999999957</v>
      </c>
      <c r="J52" s="224">
        <f ca="1">SUM((1+1/IRR(MMULT({0,0,2,0;0,1,0,-1;-1,4,-5,2;1,-3,3,-1},OFFSET($B$7,MATCH(B52,$B$7:$B$14)-2,,4)-B52 )))^-{0;1;2;3}*MMULT({0,2,0,0;-1,0,1,0;2,-5,4,-1;-1,3,-3,1},OFFSET($C$7,MATCH(B52,$B$7:$B$14)-2,,4)))/2</f>
        <v>5.2000000000000295</v>
      </c>
    </row>
    <row r="53" spans="1:11" x14ac:dyDescent="0.2">
      <c r="A53" s="198"/>
      <c r="B53" s="222">
        <v>22.5</v>
      </c>
      <c r="C53" s="228" t="e">
        <f ca="1"/>
        <v>#NAME?</v>
      </c>
      <c r="D53" s="224">
        <f t="shared" ref="D53:D84" si="0">PERCENTILE($C$7:$C$14,1-PERCENTRANK($A$7:$B$14,B53,20))</f>
        <v>4.7</v>
      </c>
      <c r="E53" s="203"/>
      <c r="F53" s="233" t="e">
        <f ca="1"/>
        <v>#NAME?</v>
      </c>
      <c r="G53" s="228" t="e">
        <f ca="1"/>
        <v>#NAME?</v>
      </c>
      <c r="H53" s="223">
        <v>4.6778315707428932</v>
      </c>
      <c r="I53" s="228">
        <f ca="1">TREND(OFFSET($C$7,MATCH(B53,$B$7:$B$14)-2,,4),OFFSET($B$7,MATCH(B53,$B$7:$B$14)-2,,4)^{1,2,3},B53^{1,2,3})</f>
        <v>4.6803046218487374</v>
      </c>
      <c r="J53" s="224">
        <f ca="1">SUM((1+1/IRR(MMULT({0,0,2,0;0,1,0,-1;-1,4,-5,2;1,-3,3,-1},OFFSET($B$7,MATCH(B53,$B$7:$B$14)-2,,4)-B53 )))^-{0;1;2;3}*MMULT({0,2,0,0;-1,0,1,0;2,-5,4,-1;-1,3,-3,1},OFFSET($C$7,MATCH(B53,$B$7:$B$14)-2,,4)))/2</f>
        <v>4.6606407333227358</v>
      </c>
      <c r="K53" s="7"/>
    </row>
    <row r="54" spans="1:11" x14ac:dyDescent="0.2">
      <c r="A54" s="198"/>
      <c r="B54" s="222">
        <v>25</v>
      </c>
      <c r="C54" s="228" t="e">
        <f ca="1"/>
        <v>#NAME?</v>
      </c>
      <c r="D54" s="224">
        <f t="shared" si="0"/>
        <v>4.1999999999999993</v>
      </c>
      <c r="E54" s="203"/>
      <c r="F54" s="233" t="e">
        <f ca="1"/>
        <v>#NAME?</v>
      </c>
      <c r="G54" s="228" t="e">
        <f ca="1"/>
        <v>#NAME?</v>
      </c>
      <c r="H54" s="223">
        <v>4.3237466678182042</v>
      </c>
      <c r="I54" s="228">
        <f ca="1">TREND(OFFSET($C$7,MATCH(B54,$B$7:$B$14)-2,,4),OFFSET($B$7,MATCH(B54,$B$7:$B$14)-2,,4)^{1,2,3},B54^{1,2,3})</f>
        <v>4.1999999999999993</v>
      </c>
      <c r="J54" s="224">
        <f ca="1">SUM((1+1/IRR(MMULT({0,0,2,0;0,1,0,-1;-1,4,-5,2;1,-3,3,-1},OFFSET($B$7,MATCH(B54,$B$7:$B$14)-2,,4)-B54 )))^-{0;1;2;3}*MMULT({0,2,0,0;-1,0,1,0;2,-5,4,-1;-1,3,-3,1},OFFSET($C$7,MATCH(B54,$B$7:$B$14)-2,,4)))/2</f>
        <v>4.1999999999998412</v>
      </c>
      <c r="K54" s="7"/>
    </row>
    <row r="55" spans="1:11" x14ac:dyDescent="0.2">
      <c r="A55" s="198"/>
      <c r="B55" s="222">
        <v>27.5</v>
      </c>
      <c r="C55" s="228" t="e">
        <f ca="1"/>
        <v>#NAME?</v>
      </c>
      <c r="D55" s="224">
        <f t="shared" si="0"/>
        <v>3.9142857142857155</v>
      </c>
      <c r="E55" s="203"/>
      <c r="F55" s="233" t="e">
        <f ca="1"/>
        <v>#NAME?</v>
      </c>
      <c r="G55" s="228" t="e">
        <f ca="1"/>
        <v>#NAME?</v>
      </c>
      <c r="H55" s="223">
        <v>4.0016030337159059</v>
      </c>
      <c r="I55" s="228">
        <f ca="1">TREND(OFFSET($C$7,MATCH(B55,$B$7:$B$14)-2,,4),OFFSET($B$7,MATCH(B55,$B$7:$B$14)-2,,4)^{1,2,3},B55^{1,2,3})</f>
        <v>3.8530133928571413</v>
      </c>
      <c r="J55" s="224">
        <f ca="1">SUM((1+1/IRR(MMULT({0,0,2,0;0,1,0,-1;-1,4,-5,2;1,-3,3,-1},OFFSET($B$7,MATCH(B55,$B$7:$B$14)-2,,4)-B55 )))^-{0;1;2;3}*MMULT({0,2,0,0;-1,0,1,0;2,-5,4,-1;-1,3,-3,1},OFFSET($C$7,MATCH(B55,$B$7:$B$14)-2,,4)))/2</f>
        <v>3.8687741711725563</v>
      </c>
      <c r="K55" s="7"/>
    </row>
    <row r="56" spans="1:11" x14ac:dyDescent="0.2">
      <c r="A56" s="198"/>
      <c r="B56" s="222">
        <v>30</v>
      </c>
      <c r="C56" s="228" t="e">
        <f ca="1"/>
        <v>#NAME?</v>
      </c>
      <c r="D56" s="224">
        <f t="shared" si="0"/>
        <v>3.6285714285714308</v>
      </c>
      <c r="E56" s="203"/>
      <c r="F56" s="233" t="e">
        <f ca="1"/>
        <v>#NAME?</v>
      </c>
      <c r="G56" s="228" t="e">
        <f ca="1"/>
        <v>#NAME?</v>
      </c>
      <c r="H56" s="223">
        <v>3.7098239309339389</v>
      </c>
      <c r="I56" s="228">
        <f ca="1">TREND(OFFSET($C$7,MATCH(B56,$B$7:$B$14)-2,,4),OFFSET($B$7,MATCH(B56,$B$7:$B$14)-2,,4)^{1,2,3},B56^{1,2,3})</f>
        <v>3.5797619047619058</v>
      </c>
      <c r="J56" s="224">
        <f ca="1">SUM((1+1/IRR(MMULT({0,0,2,0;0,1,0,-1;-1,4,-5,2;1,-3,3,-1},OFFSET($B$7,MATCH(B56,$B$7:$B$14)-2,,4)-B56 )))^-{0;1;2;3}*MMULT({0,2,0,0;-1,0,1,0;2,-5,4,-1;-1,3,-3,1},OFFSET($C$7,MATCH(B56,$B$7:$B$14)-2,,4)))/2</f>
        <v>3.5947441116742378</v>
      </c>
      <c r="K56" s="7"/>
    </row>
    <row r="57" spans="1:11" x14ac:dyDescent="0.2">
      <c r="A57" s="198"/>
      <c r="B57" s="222">
        <v>32.5</v>
      </c>
      <c r="C57" s="228" t="e">
        <f ca="1"/>
        <v>#NAME?</v>
      </c>
      <c r="D57" s="224">
        <f t="shared" si="0"/>
        <v>3.3625000000000007</v>
      </c>
      <c r="E57" s="203"/>
      <c r="F57" s="233" t="e">
        <f ca="1"/>
        <v>#NAME?</v>
      </c>
      <c r="G57" s="228" t="e">
        <f ca="1"/>
        <v>#NAME?</v>
      </c>
      <c r="H57" s="223">
        <v>3.4468326219702483</v>
      </c>
      <c r="I57" s="228">
        <f ca="1">TREND(OFFSET($C$7,MATCH(B57,$B$7:$B$14)-2,,4),OFFSET($B$7,MATCH(B57,$B$7:$B$14)-2,,4)^{1,2,3},B57^{1,2,3})</f>
        <v>3.353437500000001</v>
      </c>
      <c r="J57" s="224">
        <f ca="1">SUM((1+1/IRR(MMULT({0,0,2,0;0,1,0,-1;-1,4,-5,2;1,-3,3,-1},OFFSET($B$7,MATCH(B57,$B$7:$B$14)-2,,4)-B57 )))^-{0;1;2;3}*MMULT({0,2,0,0;-1,0,1,0;2,-5,4,-1;-1,3,-3,1},OFFSET($C$7,MATCH(B57,$B$7:$B$14)-2,,4)))/2</f>
        <v>3.3537913295603059</v>
      </c>
      <c r="K57" s="7"/>
    </row>
    <row r="58" spans="1:11" x14ac:dyDescent="0.2">
      <c r="A58" s="198"/>
      <c r="B58" s="222">
        <v>35</v>
      </c>
      <c r="C58" s="228" t="e">
        <f ca="1"/>
        <v>#NAME?</v>
      </c>
      <c r="D58" s="224">
        <f t="shared" si="0"/>
        <v>3.1750000000000007</v>
      </c>
      <c r="E58" s="203"/>
      <c r="F58" s="233" t="e">
        <f ca="1"/>
        <v>#NAME?</v>
      </c>
      <c r="G58" s="228" t="e">
        <f ca="1"/>
        <v>#NAME?</v>
      </c>
      <c r="H58" s="223">
        <v>3.2110523693227719</v>
      </c>
      <c r="I58" s="228">
        <f ca="1">TREND(OFFSET($C$7,MATCH(B58,$B$7:$B$14)-2,,4),OFFSET($B$7,MATCH(B58,$B$7:$B$14)-2,,4)^{1,2,3},B58^{1,2,3})</f>
        <v>3.1397619047619045</v>
      </c>
      <c r="J58" s="224">
        <f ca="1">SUM((1+1/IRR(MMULT({0,0,2,0;0,1,0,-1;-1,4,-5,2;1,-3,3,-1},OFFSET($B$7,MATCH(B58,$B$7:$B$14)-2,,4)-B58 )))^-{0;1;2;3}*MMULT({0,2,0,0;-1,0,1,0;2,-5,4,-1;-1,3,-3,1},OFFSET($C$7,MATCH(B58,$B$7:$B$14)-2,,4)))/2</f>
        <v>3.1385658371008303</v>
      </c>
      <c r="K58" s="7"/>
    </row>
    <row r="59" spans="1:11" x14ac:dyDescent="0.2">
      <c r="A59" s="198"/>
      <c r="B59" s="222">
        <v>37.5</v>
      </c>
      <c r="C59" s="228" t="e">
        <f ca="1"/>
        <v>#NAME?</v>
      </c>
      <c r="D59" s="224">
        <f t="shared" si="0"/>
        <v>2.987500000000002</v>
      </c>
      <c r="E59" s="203"/>
      <c r="F59" s="233" t="e">
        <f ca="1"/>
        <v>#NAME?</v>
      </c>
      <c r="G59" s="228" t="e">
        <f ca="1"/>
        <v>#NAME?</v>
      </c>
      <c r="H59" s="223">
        <v>3.0009064354894548</v>
      </c>
      <c r="I59" s="228">
        <f ca="1">TREND(OFFSET($C$7,MATCH(B59,$B$7:$B$14)-2,,4),OFFSET($B$7,MATCH(B59,$B$7:$B$14)-2,,4)^{1,2,3},B59^{1,2,3})</f>
        <v>2.9561259920634928</v>
      </c>
      <c r="J59" s="224">
        <f ca="1">SUM((1+1/IRR(MMULT({0,0,2,0;0,1,0,-1;-1,4,-5,2;1,-3,3,-1},OFFSET($B$7,MATCH(B59,$B$7:$B$14)-2,,4)-B59 )))^-{0;1;2;3}*MMULT({0,2,0,0;-1,0,1,0;2,-5,4,-1;-1,3,-3,1},OFFSET($C$7,MATCH(B59,$B$7:$B$14)-2,,4)))/2</f>
        <v>2.9536773758255275</v>
      </c>
      <c r="K59" s="7"/>
    </row>
    <row r="60" spans="1:11" x14ac:dyDescent="0.2">
      <c r="A60" s="198"/>
      <c r="B60" s="222">
        <v>40.000000010000001</v>
      </c>
      <c r="C60" s="228" t="e">
        <f ca="1"/>
        <v>#NAME?</v>
      </c>
      <c r="D60" s="224">
        <f t="shared" si="0"/>
        <v>2.7999999995999989</v>
      </c>
      <c r="E60" s="203"/>
      <c r="F60" s="233" t="e">
        <f ca="1"/>
        <v>#NAME?</v>
      </c>
      <c r="G60" s="228" t="e">
        <f ca="1"/>
        <v>#NAME?</v>
      </c>
      <c r="H60" s="223">
        <v>2.8148180822698965</v>
      </c>
      <c r="I60" s="228">
        <f ca="1">TREND(OFFSET($C$7,MATCH(B60,$B$7:$B$14)-2,,4),OFFSET($B$7,MATCH(B60,$B$7:$B$14)-2,,4)^{1,2,3},B60^{1,2,3})</f>
        <v>2.7999999994397609</v>
      </c>
      <c r="J60" s="224">
        <f ca="1">SUM((1+1/IRR(MMULT({0,0,2,0;0,1,0,-1;-1,4,-5,2;1,-3,3,-1},OFFSET($B$7,MATCH(B60,$B$7:$B$14)-2,,4)-B60 )))^-{0;1;2;3}*MMULT({0,2,0,0;-1,0,1,0;2,-5,4,-1;-1,3,-3,1},OFFSET($C$7,MATCH(B60,$B$7:$B$14)-2,,4)))/2</f>
        <v>2.7999999994444442</v>
      </c>
      <c r="K60" s="7"/>
    </row>
    <row r="61" spans="1:11" x14ac:dyDescent="0.2">
      <c r="A61" s="198"/>
      <c r="B61" s="222">
        <v>42.5</v>
      </c>
      <c r="C61" s="228" t="e">
        <f ca="1"/>
        <v>#NAME?</v>
      </c>
      <c r="D61" s="224">
        <f t="shared" si="0"/>
        <v>2.7000000000000006</v>
      </c>
      <c r="E61" s="203"/>
      <c r="F61" s="233" t="e">
        <f ca="1"/>
        <v>#NAME?</v>
      </c>
      <c r="G61" s="228" t="e">
        <f ca="1"/>
        <v>#NAME?</v>
      </c>
      <c r="H61" s="223">
        <v>2.6512105742570604</v>
      </c>
      <c r="I61" s="228">
        <f ca="1">TREND(OFFSET($C$7,MATCH(B61,$B$7:$B$14)-2,,4),OFFSET($B$7,MATCH(B61,$B$7:$B$14)-2,,4)^{1,2,3},B61^{1,2,3})</f>
        <v>2.671960227272729</v>
      </c>
      <c r="J61" s="224">
        <f ca="1">SUM((1+1/IRR(MMULT({0,0,2,0;0,1,0,-1;-1,4,-5,2;1,-3,3,-1},OFFSET($B$7,MATCH(B61,$B$7:$B$14)-2,,4)-B61 )))^-{0;1;2;3}*MMULT({0,2,0,0;-1,0,1,0;2,-5,4,-1;-1,3,-3,1},OFFSET($C$7,MATCH(B61,$B$7:$B$14)-2,,4)))/2</f>
        <v>2.6741078131731522</v>
      </c>
      <c r="K61" s="7"/>
    </row>
    <row r="62" spans="1:11" x14ac:dyDescent="0.2">
      <c r="A62" s="198"/>
      <c r="B62" s="222">
        <v>45</v>
      </c>
      <c r="C62" s="228" t="e">
        <f ca="1"/>
        <v>#NAME?</v>
      </c>
      <c r="D62" s="224">
        <f t="shared" si="0"/>
        <v>2.5999999999999996</v>
      </c>
      <c r="E62" s="203"/>
      <c r="F62" s="233" t="e">
        <f ca="1"/>
        <v>#NAME?</v>
      </c>
      <c r="G62" s="228" t="e">
        <f ca="1"/>
        <v>#NAME?</v>
      </c>
      <c r="H62" s="223">
        <v>2.508507171853867</v>
      </c>
      <c r="I62" s="228">
        <f ca="1">TREND(OFFSET($C$7,MATCH(B62,$B$7:$B$14)-2,,4),OFFSET($B$7,MATCH(B62,$B$7:$B$14)-2,,4)^{1,2,3},B62^{1,2,3})</f>
        <v>2.5652861952861947</v>
      </c>
      <c r="J62" s="224">
        <f ca="1">SUM((1+1/IRR(MMULT({0,0,2,0;0,1,0,-1;-1,4,-5,2;1,-3,3,-1},OFFSET($B$7,MATCH(B62,$B$7:$B$14)-2,,4)-B62 )))^-{0;1;2;3}*MMULT({0,2,0,0;-1,0,1,0;2,-5,4,-1;-1,3,-3,1},OFFSET($C$7,MATCH(B62,$B$7:$B$14)-2,,4)))/2</f>
        <v>2.5706908137551538</v>
      </c>
      <c r="K62" s="7"/>
    </row>
    <row r="63" spans="1:11" x14ac:dyDescent="0.2">
      <c r="A63" s="198"/>
      <c r="B63" s="222">
        <v>47.5</v>
      </c>
      <c r="C63" s="228" t="e">
        <f ca="1"/>
        <v>#NAME?</v>
      </c>
      <c r="D63" s="224">
        <f t="shared" si="0"/>
        <v>2.4999999999999991</v>
      </c>
      <c r="E63" s="203"/>
      <c r="F63" s="233" t="e">
        <f ca="1"/>
        <v>#NAME?</v>
      </c>
      <c r="G63" s="228" t="e">
        <f ca="1"/>
        <v>#NAME?</v>
      </c>
      <c r="H63" s="223">
        <v>2.3851311382565976</v>
      </c>
      <c r="I63" s="228">
        <f ca="1">TREND(OFFSET($C$7,MATCH(B63,$B$7:$B$14)-2,,4),OFFSET($B$7,MATCH(B63,$B$7:$B$14)-2,,4)^{1,2,3},B63^{1,2,3})</f>
        <v>2.4759690656565638</v>
      </c>
      <c r="J63" s="224">
        <f ca="1">SUM((1+1/IRR(MMULT({0,0,2,0;0,1,0,-1;-1,4,-5,2;1,-3,3,-1},OFFSET($B$7,MATCH(B63,$B$7:$B$14)-2,,4)-B63 )))^-{0;1;2;3}*MMULT({0,2,0,0;-1,0,1,0;2,-5,4,-1;-1,3,-3,1},OFFSET($C$7,MATCH(B63,$B$7:$B$14)-2,,4)))/2</f>
        <v>2.4817805914594504</v>
      </c>
      <c r="K63" s="7"/>
    </row>
    <row r="64" spans="1:11" x14ac:dyDescent="0.2">
      <c r="A64" s="198"/>
      <c r="B64" s="222">
        <v>50.000000000999997</v>
      </c>
      <c r="C64" s="228" t="e">
        <f ca="1"/>
        <v>#NAME?</v>
      </c>
      <c r="D64" s="224">
        <f t="shared" si="0"/>
        <v>2.3999999999733341</v>
      </c>
      <c r="E64" s="203"/>
      <c r="F64" s="233" t="e">
        <f ca="1"/>
        <v>#NAME?</v>
      </c>
      <c r="G64" s="228" t="e">
        <f ca="1"/>
        <v>#NAME?</v>
      </c>
      <c r="H64" s="223">
        <v>2.2795057359242854</v>
      </c>
      <c r="I64" s="228">
        <f ca="1">TREND(OFFSET($C$7,MATCH(B64,$B$7:$B$14)-2,,4),OFFSET($B$7,MATCH(B64,$B$7:$B$14)-2,,4)^{1,2,3},B64^{1,2,3})</f>
        <v>2.3999999999665</v>
      </c>
      <c r="J64" s="224">
        <f ca="1">SUM((1+1/IRR(MMULT({0,0,2,0;0,1,0,-1;-1,4,-5,2;1,-3,3,-1},OFFSET($B$7,MATCH(B64,$B$7:$B$14)-2,,4)-B64 )))^-{0;1;2;3}*MMULT({0,2,0,0;-1,0,1,0;2,-5,4,-1;-1,3,-3,1},OFFSET($C$7,MATCH(B64,$B$7:$B$14)-2,,4)))/2</f>
        <v>2.3999999999679997</v>
      </c>
      <c r="K64" s="7"/>
    </row>
    <row r="65" spans="1:11" x14ac:dyDescent="0.2">
      <c r="A65" s="198"/>
      <c r="B65" s="222">
        <v>52.5</v>
      </c>
      <c r="C65" s="228" t="e">
        <f ca="1"/>
        <v>#NAME?</v>
      </c>
      <c r="D65" s="224">
        <f t="shared" si="0"/>
        <v>2.3333333333333339</v>
      </c>
      <c r="E65" s="203"/>
      <c r="F65" s="233" t="e">
        <f ca="1"/>
        <v>#NAME?</v>
      </c>
      <c r="G65" s="228" t="e">
        <f ca="1"/>
        <v>#NAME?</v>
      </c>
      <c r="H65" s="223">
        <v>2.1900542274715997</v>
      </c>
      <c r="I65" s="228">
        <f ca="1">TREND(OFFSET($C$7,MATCH(B65,$B$7:$B$14)-2,,4),OFFSET($B$7,MATCH(B65,$B$7:$B$14)-2,,4)^{1,2,3},B65^{1,2,3})</f>
        <v>2.3197048611111111</v>
      </c>
      <c r="J65" s="224">
        <f ca="1">SUM((1+1/IRR(MMULT({0,0,2,0;0,1,0,-1;-1,4,-5,2;1,-3,3,-1},OFFSET($B$7,MATCH(B65,$B$7:$B$14)-2,,4)-B65 )))^-{0;1;2;3}*MMULT({0,2,0,0;-1,0,1,0;2,-5,4,-1;-1,3,-3,1},OFFSET($C$7,MATCH(B65,$B$7:$B$14)-2,,4)))/2</f>
        <v>2.3236612009176083</v>
      </c>
      <c r="K65" s="7"/>
    </row>
    <row r="66" spans="1:11" x14ac:dyDescent="0.2">
      <c r="A66" s="198"/>
      <c r="B66" s="222">
        <v>55</v>
      </c>
      <c r="C66" s="228" t="e">
        <f ca="1"/>
        <v>#NAME?</v>
      </c>
      <c r="D66" s="224">
        <f t="shared" si="0"/>
        <v>2.2666666666666671</v>
      </c>
      <c r="E66" s="203"/>
      <c r="F66" s="233" t="e">
        <f ca="1"/>
        <v>#NAME?</v>
      </c>
      <c r="G66" s="228" t="e">
        <f ca="1"/>
        <v>#NAME?</v>
      </c>
      <c r="H66" s="223">
        <v>2.1151998752797567</v>
      </c>
      <c r="I66" s="228">
        <f ca="1">TREND(OFFSET($C$7,MATCH(B66,$B$7:$B$14)-2,,4),OFFSET($B$7,MATCH(B66,$B$7:$B$14)-2,,4)^{1,2,3},B66^{1,2,3})</f>
        <v>2.2458333333333318</v>
      </c>
      <c r="J66" s="224">
        <f ca="1">SUM((1+1/IRR(MMULT({0,0,2,0;0,1,0,-1;-1,4,-5,2;1,-3,3,-1},OFFSET($B$7,MATCH(B66,$B$7:$B$14)-2,,4)-B66 )))^-{0;1;2;3}*MMULT({0,2,0,0;-1,0,1,0;2,-5,4,-1;-1,3,-3,1},OFFSET($C$7,MATCH(B66,$B$7:$B$14)-2,,4)))/2</f>
        <v>2.2527166091004744</v>
      </c>
      <c r="K66" s="7"/>
    </row>
    <row r="67" spans="1:11" x14ac:dyDescent="0.2">
      <c r="A67" s="198"/>
      <c r="B67" s="222">
        <v>57.5</v>
      </c>
      <c r="C67" s="228" t="e">
        <f ca="1"/>
        <v>#NAME?</v>
      </c>
      <c r="D67" s="224">
        <f t="shared" si="0"/>
        <v>2.1999999999999997</v>
      </c>
      <c r="E67" s="203"/>
      <c r="F67" s="233" t="e">
        <f ca="1"/>
        <v>#NAME?</v>
      </c>
      <c r="G67" s="228" t="e">
        <f ca="1"/>
        <v>#NAME?</v>
      </c>
      <c r="H67" s="223">
        <v>2.0533659418855992</v>
      </c>
      <c r="I67" s="228">
        <f ca="1">TREND(OFFSET($C$7,MATCH(B67,$B$7:$B$14)-2,,4),OFFSET($B$7,MATCH(B67,$B$7:$B$14)-2,,4)^{1,2,3},B67^{1,2,3})</f>
        <v>2.1776562500000001</v>
      </c>
      <c r="J67" s="224">
        <f ca="1">SUM((1+1/IRR(MMULT({0,0,2,0;0,1,0,-1;-1,4,-5,2;1,-3,3,-1},OFFSET($B$7,MATCH(B67,$B$7:$B$14)-2,,4)-B67 )))^-{0;1;2;3}*MMULT({0,2,0,0;-1,0,1,0;2,-5,4,-1;-1,3,-3,1},OFFSET($C$7,MATCH(B67,$B$7:$B$14)-2,,4)))/2</f>
        <v>2.1855230015847504</v>
      </c>
      <c r="K67" s="7"/>
    </row>
    <row r="68" spans="1:11" x14ac:dyDescent="0.2">
      <c r="A68" s="198"/>
      <c r="B68" s="222">
        <v>60</v>
      </c>
      <c r="C68" s="228" t="e">
        <f ca="1"/>
        <v>#NAME?</v>
      </c>
      <c r="D68" s="224">
        <f t="shared" si="0"/>
        <v>2.1333333333333324</v>
      </c>
      <c r="E68" s="203"/>
      <c r="F68" s="233" t="e">
        <f ca="1"/>
        <v>#NAME?</v>
      </c>
      <c r="G68" s="228" t="e">
        <f ca="1"/>
        <v>#NAME?</v>
      </c>
      <c r="H68" s="223">
        <v>2.0029756897870801</v>
      </c>
      <c r="I68" s="228">
        <f ca="1">TREND(OFFSET($C$7,MATCH(B68,$B$7:$B$14)-2,,4),OFFSET($B$7,MATCH(B68,$B$7:$B$14)-2,,4)^{1,2,3},B68^{1,2,3})</f>
        <v>2.1144444444444455</v>
      </c>
      <c r="J68" s="224">
        <f ca="1">SUM((1+1/IRR(MMULT({0,0,2,0;0,1,0,-1;-1,4,-5,2;1,-3,3,-1},OFFSET($B$7,MATCH(B68,$B$7:$B$14)-2,,4)-B68 )))^-{0;1;2;3}*MMULT({0,2,0,0;-1,0,1,0;2,-5,4,-1;-1,3,-3,1},OFFSET($C$7,MATCH(B68,$B$7:$B$14)-2,,4)))/2</f>
        <v>2.1212543823065686</v>
      </c>
      <c r="K68" s="7"/>
    </row>
    <row r="69" spans="1:11" x14ac:dyDescent="0.2">
      <c r="A69" s="198"/>
      <c r="B69" s="222">
        <v>62.5</v>
      </c>
      <c r="C69" s="228" t="e">
        <f ca="1"/>
        <v>#NAME?</v>
      </c>
      <c r="D69" s="224">
        <f t="shared" si="0"/>
        <v>2.0666666666666678</v>
      </c>
      <c r="E69" s="203"/>
      <c r="F69" s="233" t="e">
        <f ca="1"/>
        <v>#NAME?</v>
      </c>
      <c r="G69" s="228" t="e">
        <f ca="1"/>
        <v>#NAME?</v>
      </c>
      <c r="H69" s="223">
        <v>1.9624523814821346</v>
      </c>
      <c r="I69" s="228">
        <f ca="1">TREND(OFFSET($C$7,MATCH(B69,$B$7:$B$14)-2,,4),OFFSET($B$7,MATCH(B69,$B$7:$B$14)-2,,4)^{1,2,3},B69^{1,2,3})</f>
        <v>2.0554687499999993</v>
      </c>
      <c r="J69" s="224">
        <f ca="1">SUM((1+1/IRR(MMULT({0,0,2,0;0,1,0,-1;-1,4,-5,2;1,-3,3,-1},OFFSET($B$7,MATCH(B69,$B$7:$B$14)-2,,4)-B69 )))^-{0;1;2;3}*MMULT({0,2,0,0;-1,0,1,0;2,-5,4,-1;-1,3,-3,1},OFFSET($C$7,MATCH(B69,$B$7:$B$14)-2,,4)))/2</f>
        <v>2.0594759211770963</v>
      </c>
      <c r="K69" s="7"/>
    </row>
    <row r="70" spans="1:11" x14ac:dyDescent="0.2">
      <c r="A70" s="198"/>
      <c r="B70" s="222">
        <v>65</v>
      </c>
      <c r="C70" s="228" t="e">
        <f ca="1"/>
        <v>#NAME?</v>
      </c>
      <c r="D70" s="224">
        <f t="shared" si="0"/>
        <v>2.0000000000000009</v>
      </c>
      <c r="E70" s="203"/>
      <c r="F70" s="233" t="e">
        <f ca="1"/>
        <v>#NAME?</v>
      </c>
      <c r="G70" s="228" t="e">
        <f ca="1"/>
        <v>#NAME?</v>
      </c>
      <c r="H70" s="223">
        <v>1.9302192794687043</v>
      </c>
      <c r="I70" s="228">
        <f ca="1">TREND(OFFSET($C$7,MATCH(B70,$B$7:$B$14)-2,,4),OFFSET($B$7,MATCH(B70,$B$7:$B$14)-2,,4)^{1,2,3},B70^{1,2,3})</f>
        <v>2</v>
      </c>
      <c r="J70" s="224">
        <f ca="1">SUM((1+1/IRR(MMULT({0,0,2,0;0,1,0,-1;-1,4,-5,2;1,-3,3,-1},OFFSET($B$7,MATCH(B70,$B$7:$B$14)-2,,4)-B70 )))^-{0;1;2;3}*MMULT({0,2,0,0;-1,0,1,0;2,-5,4,-1;-1,3,-3,1},OFFSET($C$7,MATCH(B70,$B$7:$B$14)-2,,4)))/2</f>
        <v>2.0000000000000027</v>
      </c>
      <c r="K70" s="7"/>
    </row>
    <row r="71" spans="1:11" x14ac:dyDescent="0.2">
      <c r="A71" s="198"/>
      <c r="B71" s="222">
        <v>67.5</v>
      </c>
      <c r="C71" s="228" t="e">
        <f ca="1"/>
        <v>#NAME?</v>
      </c>
      <c r="D71" s="224">
        <f t="shared" si="0"/>
        <v>1.9500000000000004</v>
      </c>
      <c r="E71" s="203"/>
      <c r="F71" s="233" t="e">
        <f ca="1"/>
        <v>#NAME?</v>
      </c>
      <c r="G71" s="228" t="e">
        <f ca="1"/>
        <v>#NAME?</v>
      </c>
      <c r="H71" s="223">
        <v>1.9046996462447359</v>
      </c>
      <c r="I71" s="228">
        <f ca="1">TREND(OFFSET($C$7,MATCH(B71,$B$7:$B$14)-2,,4),OFFSET($B$7,MATCH(B71,$B$7:$B$14)-2,,4)^{1,2,3},B71^{1,2,3})</f>
        <v>1.9423611111111119</v>
      </c>
      <c r="J71" s="224">
        <f ca="1">SUM((1+1/IRR(MMULT({0,0,2,0;0,1,0,-1;-1,4,-5,2;1,-3,3,-1},OFFSET($B$7,MATCH(B71,$B$7:$B$14)-2,,4)-B71 )))^-{0;1;2;3}*MMULT({0,2,0,0;-1,0,1,0;2,-5,4,-1;-1,3,-3,1},OFFSET($C$7,MATCH(B71,$B$7:$B$14)-2,,4)))/2</f>
        <v>1.9417139785240827</v>
      </c>
      <c r="K71" s="7"/>
    </row>
    <row r="72" spans="1:11" x14ac:dyDescent="0.2">
      <c r="A72" s="198"/>
      <c r="B72" s="222">
        <v>70</v>
      </c>
      <c r="C72" s="228" t="e">
        <f ca="1"/>
        <v>#NAME?</v>
      </c>
      <c r="D72" s="224">
        <f t="shared" si="0"/>
        <v>1.8999999999999995</v>
      </c>
      <c r="E72" s="203"/>
      <c r="F72" s="233" t="e">
        <f ca="1"/>
        <v>#NAME?</v>
      </c>
      <c r="G72" s="228" t="e">
        <f ca="1"/>
        <v>#NAME?</v>
      </c>
      <c r="H72" s="223">
        <v>1.8843167443081628</v>
      </c>
      <c r="I72" s="228">
        <f ca="1">TREND(OFFSET($C$7,MATCH(B72,$B$7:$B$14)-2,,4),OFFSET($B$7,MATCH(B72,$B$7:$B$14)-2,,4)^{1,2,3},B72^{1,2,3})</f>
        <v>1.8876190476190482</v>
      </c>
      <c r="J72" s="224">
        <f ca="1">SUM((1+1/IRR(MMULT({0,0,2,0;0,1,0,-1;-1,4,-5,2;1,-3,3,-1},OFFSET($B$7,MATCH(B72,$B$7:$B$14)-2,,4)-B72 )))^-{0;1;2;3}*MMULT({0,2,0,0;-1,0,1,0;2,-5,4,-1;-1,3,-3,1},OFFSET($C$7,MATCH(B72,$B$7:$B$14)-2,,4)))/2</f>
        <v>1.8847581233554764</v>
      </c>
      <c r="K72" s="7"/>
    </row>
    <row r="73" spans="1:11" x14ac:dyDescent="0.2">
      <c r="A73" s="198"/>
      <c r="B73" s="222">
        <v>72.5</v>
      </c>
      <c r="C73" s="228" t="e">
        <f ca="1"/>
        <v>#NAME?</v>
      </c>
      <c r="D73" s="224">
        <f t="shared" si="0"/>
        <v>1.8499999999999992</v>
      </c>
      <c r="E73" s="203"/>
      <c r="F73" s="233" t="e">
        <f ca="1"/>
        <v>#NAME?</v>
      </c>
      <c r="G73" s="228" t="e">
        <f ca="1"/>
        <v>#NAME?</v>
      </c>
      <c r="H73" s="223">
        <v>1.8674938361569344</v>
      </c>
      <c r="I73" s="228">
        <f ca="1">TREND(OFFSET($C$7,MATCH(B73,$B$7:$B$14)-2,,4),OFFSET($B$7,MATCH(B73,$B$7:$B$14)-2,,4)^{1,2,3},B73^{1,2,3})</f>
        <v>1.8358928571428574</v>
      </c>
      <c r="J73" s="224">
        <f ca="1">SUM((1+1/IRR(MMULT({0,0,2,0;0,1,0,-1;-1,4,-5,2;1,-3,3,-1},OFFSET($B$7,MATCH(B73,$B$7:$B$14)-2,,4)-B73 )))^-{0;1;2;3}*MMULT({0,2,0,0;-1,0,1,0;2,-5,4,-1;-1,3,-3,1},OFFSET($C$7,MATCH(B73,$B$7:$B$14)-2,,4)))/2</f>
        <v>1.8310146105040626</v>
      </c>
      <c r="K73" s="7"/>
    </row>
    <row r="74" spans="1:11" x14ac:dyDescent="0.2">
      <c r="A74" s="198"/>
      <c r="B74" s="222">
        <v>75</v>
      </c>
      <c r="C74" s="228" t="e">
        <f ca="1"/>
        <v>#NAME?</v>
      </c>
      <c r="D74" s="224">
        <f t="shared" si="0"/>
        <v>1.8000000000000012</v>
      </c>
      <c r="E74" s="203"/>
      <c r="F74" s="233" t="e">
        <f ca="1"/>
        <v>#NAME?</v>
      </c>
      <c r="G74" s="228" t="e">
        <f ca="1"/>
        <v>#NAME?</v>
      </c>
      <c r="H74" s="223">
        <v>1.8526541842889852</v>
      </c>
      <c r="I74" s="228">
        <f ca="1">TREND(OFFSET($C$7,MATCH(B74,$B$7:$B$14)-2,,4),OFFSET($B$7,MATCH(B74,$B$7:$B$14)-2,,4)^{1,2,3},B74^{1,2,3})</f>
        <v>1.7873015873015876</v>
      </c>
      <c r="J74" s="224">
        <f ca="1">SUM((1+1/IRR(MMULT({0,0,2,0;0,1,0,-1;-1,4,-5,2;1,-3,3,-1},OFFSET($B$7,MATCH(B74,$B$7:$B$14)-2,,4)-B74 )))^-{0;1;2;3}*MMULT({0,2,0,0;-1,0,1,0;2,-5,4,-1;-1,3,-3,1},OFFSET($C$7,MATCH(B74,$B$7:$B$14)-2,,4)))/2</f>
        <v>1.7819524842687997</v>
      </c>
      <c r="K74" s="7"/>
    </row>
    <row r="75" spans="1:11" x14ac:dyDescent="0.2">
      <c r="A75" s="198"/>
      <c r="B75" s="222">
        <v>77.5</v>
      </c>
      <c r="C75" s="228" t="e">
        <f ca="1"/>
        <v>#NAME?</v>
      </c>
      <c r="D75" s="224">
        <f t="shared" si="0"/>
        <v>1.7500000000000009</v>
      </c>
      <c r="E75" s="203"/>
      <c r="F75" s="233" t="e">
        <f ca="1"/>
        <v>#NAME?</v>
      </c>
      <c r="G75" s="228" t="e">
        <f ca="1"/>
        <v>#NAME?</v>
      </c>
      <c r="H75" s="223">
        <v>1.8382210512022654</v>
      </c>
      <c r="I75" s="228">
        <f ca="1">TREND(OFFSET($C$7,MATCH(B75,$B$7:$B$14)-2,,4),OFFSET($B$7,MATCH(B75,$B$7:$B$14)-2,,4)^{1,2,3},B75^{1,2,3})</f>
        <v>1.7419642857142859</v>
      </c>
      <c r="J75" s="224">
        <f ca="1">SUM((1+1/IRR(MMULT({0,0,2,0;0,1,0,-1;-1,4,-5,2;1,-3,3,-1},OFFSET($B$7,MATCH(B75,$B$7:$B$14)-2,,4)-B75 )))^-{0;1;2;3}*MMULT({0,2,0,0;-1,0,1,0;2,-5,4,-1;-1,3,-3,1},OFFSET($C$7,MATCH(B75,$B$7:$B$14)-2,,4)))/2</f>
        <v>1.7382820322126751</v>
      </c>
      <c r="K75" s="7"/>
    </row>
    <row r="76" spans="1:11" x14ac:dyDescent="0.2">
      <c r="A76" s="198"/>
      <c r="B76" s="222">
        <v>80</v>
      </c>
      <c r="C76" s="228" t="e">
        <f ca="1"/>
        <v>#NAME?</v>
      </c>
      <c r="D76" s="224">
        <f t="shared" si="0"/>
        <v>1.7000000000000002</v>
      </c>
      <c r="E76" s="203"/>
      <c r="F76" s="233" t="e">
        <f ca="1"/>
        <v>#NAME?</v>
      </c>
      <c r="G76" s="228" t="e">
        <f ca="1"/>
        <v>#NAME?</v>
      </c>
      <c r="H76" s="223">
        <v>1.8226176993947139</v>
      </c>
      <c r="I76" s="228">
        <f ca="1">TREND(OFFSET($C$7,MATCH(B76,$B$7:$B$14)-2,,4),OFFSET($B$7,MATCH(B76,$B$7:$B$14)-2,,4)^{1,2,3},B76^{1,2,3})</f>
        <v>1.7000000000000011</v>
      </c>
      <c r="J76" s="224">
        <f ca="1">SUM((1+1/IRR(MMULT({0,0,2,0;0,1,0,-1;-1,4,-5,2;1,-3,3,-1},OFFSET($B$7,MATCH(B76,$B$7:$B$14)-2,,4)-B76 )))^-{0;1;2;3}*MMULT({0,2,0,0;-1,0,1,0;2,-5,4,-1;-1,3,-3,1},OFFSET($C$7,MATCH(B76,$B$7:$B$14)-2,,4)))/2</f>
        <v>1.6999999999999029</v>
      </c>
      <c r="K76" s="7"/>
    </row>
    <row r="77" spans="1:11" x14ac:dyDescent="0.2">
      <c r="A77" s="198"/>
      <c r="B77" s="222">
        <v>82.5</v>
      </c>
      <c r="C77" s="228" t="e">
        <f ca="1"/>
        <v>#NAME?</v>
      </c>
      <c r="D77" s="224">
        <f t="shared" si="0"/>
        <v>1.675</v>
      </c>
      <c r="E77" s="203"/>
      <c r="F77" s="233" t="e">
        <f ca="1"/>
        <v>#NAME?</v>
      </c>
      <c r="G77" s="228" t="e">
        <f ca="1"/>
        <v>#NAME?</v>
      </c>
      <c r="H77" s="223">
        <v>1.8042673913642648</v>
      </c>
      <c r="I77" s="228">
        <f ca="1">TREND(OFFSET($C$7,MATCH(B77,$B$7:$B$14)-2,,4),OFFSET($B$7,MATCH(B77,$B$7:$B$14)-2,,4)^{1,2,3},B77^{1,2,3})</f>
        <v>1.666477272727275</v>
      </c>
      <c r="J77" s="224">
        <f ca="1">SUM((1+1/IRR(MMULT({0,0,2,0;0,1,0,-1;-1,4,-5,2;1,-3,3,-1},OFFSET($B$7,MATCH(B77,$B$7:$B$14)-2,,4)-B77 )))^-{0;1;2;3}*MMULT({0,2,0,0;-1,0,1,0;2,-5,4,-1;-1,3,-3,1},OFFSET($C$7,MATCH(B77,$B$7:$B$14)-2,,4)))/2</f>
        <v>1.667316879031657</v>
      </c>
      <c r="K77" s="7"/>
    </row>
    <row r="78" spans="1:11" x14ac:dyDescent="0.2">
      <c r="A78" s="198"/>
      <c r="B78" s="222">
        <v>85</v>
      </c>
      <c r="C78" s="228" t="e">
        <f ca="1"/>
        <v>#NAME?</v>
      </c>
      <c r="D78" s="224">
        <f t="shared" si="0"/>
        <v>1.65</v>
      </c>
      <c r="E78" s="203"/>
      <c r="F78" s="233" t="e">
        <f ca="1"/>
        <v>#NAME?</v>
      </c>
      <c r="G78" s="228" t="e">
        <f ca="1"/>
        <v>#NAME?</v>
      </c>
      <c r="H78" s="223">
        <v>1.7815933896088687</v>
      </c>
      <c r="I78" s="228">
        <f ca="1">TREND(OFFSET($C$7,MATCH(B78,$B$7:$B$14)-2,,4),OFFSET($B$7,MATCH(B78,$B$7:$B$14)-2,,4)^{1,2,3},B78^{1,2,3})</f>
        <v>1.6363636363636376</v>
      </c>
      <c r="J78" s="224">
        <f ca="1">SUM((1+1/IRR(MMULT({0,0,2,0;0,1,0,-1;-1,4,-5,2;1,-3,3,-1},OFFSET($B$7,MATCH(B78,$B$7:$B$14)-2,,4)-B78 )))^-{0;1;2;3}*MMULT({0,2,0,0;-1,0,1,0;2,-5,4,-1;-1,3,-3,1},OFFSET($C$7,MATCH(B78,$B$7:$B$14)-2,,4)))/2</f>
        <v>1.6392304845413264</v>
      </c>
      <c r="K78" s="7"/>
    </row>
    <row r="79" spans="1:11" x14ac:dyDescent="0.2">
      <c r="A79" s="198"/>
      <c r="B79" s="222">
        <v>87.5</v>
      </c>
      <c r="C79" s="228" t="e">
        <f ca="1"/>
        <v>#NAME?</v>
      </c>
      <c r="D79" s="224">
        <f t="shared" si="0"/>
        <v>1.6249999999999996</v>
      </c>
      <c r="E79" s="203"/>
      <c r="F79" s="233" t="e">
        <f ca="1"/>
        <v>#NAME?</v>
      </c>
      <c r="G79" s="228" t="e">
        <f ca="1"/>
        <v>#NAME?</v>
      </c>
      <c r="H79" s="223">
        <v>1.7530189566264625</v>
      </c>
      <c r="I79" s="228">
        <f ca="1">TREND(OFFSET($C$7,MATCH(B79,$B$7:$B$14)-2,,4),OFFSET($B$7,MATCH(B79,$B$7:$B$14)-2,,4)^{1,2,3},B79^{1,2,3})</f>
        <v>1.6091720779220795</v>
      </c>
      <c r="J79" s="224">
        <f ca="1">SUM((1+1/IRR(MMULT({0,0,2,0;0,1,0,-1;-1,4,-5,2;1,-3,3,-1},OFFSET($B$7,MATCH(B79,$B$7:$B$14)-2,,4)-B79 )))^-{0;1;2;3}*MMULT({0,2,0,0;-1,0,1,0;2,-5,4,-1;-1,3,-3,1},OFFSET($C$7,MATCH(B79,$B$7:$B$14)-2,,4)))/2</f>
        <v>1.6141407707543629</v>
      </c>
      <c r="K79" s="7"/>
    </row>
    <row r="80" spans="1:11" x14ac:dyDescent="0.2">
      <c r="A80" s="198"/>
      <c r="B80" s="222">
        <v>90</v>
      </c>
      <c r="C80" s="228" t="e">
        <f ca="1"/>
        <v>#NAME?</v>
      </c>
      <c r="D80" s="224">
        <f t="shared" si="0"/>
        <v>1.600000000000001</v>
      </c>
      <c r="E80" s="203"/>
      <c r="F80" s="233" t="e">
        <f ca="1"/>
        <v>#NAME?</v>
      </c>
      <c r="G80" s="228" t="e">
        <f ca="1"/>
        <v>#NAME?</v>
      </c>
      <c r="H80" s="223">
        <v>1.7169673549149955</v>
      </c>
      <c r="I80" s="228">
        <f ca="1">TREND(OFFSET($C$7,MATCH(B80,$B$7:$B$14)-2,,4),OFFSET($B$7,MATCH(B80,$B$7:$B$14)-2,,4)^{1,2,3},B80^{1,2,3})</f>
        <v>1.5844155844155834</v>
      </c>
      <c r="J80" s="224">
        <f ca="1">SUM((1+1/IRR(MMULT({0,0,2,0;0,1,0,-1;-1,4,-5,2;1,-3,3,-1},OFFSET($B$7,MATCH(B80,$B$7:$B$14)-2,,4)-B80 )))^-{0;1;2;3}*MMULT({0,2,0,0;-1,0,1,0;2,-5,4,-1;-1,3,-3,1},OFFSET($C$7,MATCH(B80,$B$7:$B$14)-2,,4)))/2</f>
        <v>1.5909171717231574</v>
      </c>
      <c r="K80" s="7"/>
    </row>
    <row r="81" spans="1:11" x14ac:dyDescent="0.2">
      <c r="A81" s="198"/>
      <c r="B81" s="222">
        <v>92.5</v>
      </c>
      <c r="C81" s="228" t="e">
        <f ca="1"/>
        <v>#NAME?</v>
      </c>
      <c r="D81" s="224">
        <f t="shared" si="0"/>
        <v>1.5750000000000006</v>
      </c>
      <c r="E81" s="203"/>
      <c r="F81" s="233" t="e">
        <f ca="1"/>
        <v>#NAME?</v>
      </c>
      <c r="G81" s="228" t="e">
        <f ca="1"/>
        <v>#NAME?</v>
      </c>
      <c r="H81" s="223">
        <v>1.6718618469723943</v>
      </c>
      <c r="I81" s="228">
        <f ca="1">TREND(OFFSET($C$7,MATCH(B81,$B$7:$B$14)-2,,4),OFFSET($B$7,MATCH(B81,$B$7:$B$14)-2,,4)^{1,2,3},B81^{1,2,3})</f>
        <v>1.5616071428571443</v>
      </c>
      <c r="J81" s="224">
        <f ca="1">SUM((1+1/IRR(MMULT({0,0,2,0;0,1,0,-1;-1,4,-5,2;1,-3,3,-1},OFFSET($B$7,MATCH(B81,$B$7:$B$14)-2,,4)-B81 )))^-{0;1;2;3}*MMULT({0,2,0,0;-1,0,1,0;2,-5,4,-1;-1,3,-3,1},OFFSET($C$7,MATCH(B81,$B$7:$B$14)-2,,4)))/2</f>
        <v>1.5686688355212453</v>
      </c>
      <c r="K81" s="7"/>
    </row>
    <row r="82" spans="1:11" x14ac:dyDescent="0.2">
      <c r="A82" s="198"/>
      <c r="B82" s="222">
        <v>95</v>
      </c>
      <c r="C82" s="228" t="e">
        <f ca="1"/>
        <v>#NAME?</v>
      </c>
      <c r="D82" s="224">
        <f t="shared" si="0"/>
        <v>1.5500000000000005</v>
      </c>
      <c r="E82" s="203"/>
      <c r="F82" s="233" t="e">
        <f ca="1"/>
        <v>#NAME?</v>
      </c>
      <c r="G82" s="228" t="e">
        <f ca="1"/>
        <v>#NAME?</v>
      </c>
      <c r="H82" s="223">
        <v>1.6161256952966205</v>
      </c>
      <c r="I82" s="228">
        <f ca="1">TREND(OFFSET($C$7,MATCH(B82,$B$7:$B$14)-2,,4),OFFSET($B$7,MATCH(B82,$B$7:$B$14)-2,,4)^{1,2,3},B82^{1,2,3})</f>
        <v>1.5402597402597396</v>
      </c>
      <c r="J82" s="224">
        <f ca="1">SUM((1+1/IRR(MMULT({0,0,2,0;0,1,0,-1;-1,4,-5,2;1,-3,3,-1},OFFSET($B$7,MATCH(B82,$B$7:$B$14)-2,,4)-B82 )))^-{0;1;2;3}*MMULT({0,2,0,0;-1,0,1,0;2,-5,4,-1;-1,3,-3,1},OFFSET($C$7,MATCH(B82,$B$7:$B$14)-2,,4)))/2</f>
        <v>1.5466159543799469</v>
      </c>
      <c r="K82" s="7"/>
    </row>
    <row r="83" spans="1:11" x14ac:dyDescent="0.2">
      <c r="A83" s="198"/>
      <c r="B83" s="222">
        <v>97.5</v>
      </c>
      <c r="C83" s="228" t="e">
        <f ca="1"/>
        <v>#NAME?</v>
      </c>
      <c r="D83" s="224">
        <f t="shared" si="0"/>
        <v>1.5250000000000001</v>
      </c>
      <c r="E83" s="203"/>
      <c r="F83" s="233" t="e">
        <f ca="1"/>
        <v>#NAME?</v>
      </c>
      <c r="G83" s="228" t="e">
        <f ca="1"/>
        <v>#NAME?</v>
      </c>
      <c r="H83" s="223">
        <v>1.5481821623855989</v>
      </c>
      <c r="I83" s="228">
        <f ca="1">TREND(OFFSET($C$7,MATCH(B83,$B$7:$B$14)-2,,4),OFFSET($B$7,MATCH(B83,$B$7:$B$14)-2,,4)^{1,2,3},B83^{1,2,3})</f>
        <v>1.5198863636363624</v>
      </c>
      <c r="J83" s="224">
        <f ca="1">SUM((1+1/IRR(MMULT({0,0,2,0;0,1,0,-1;-1,4,-5,2;1,-3,3,-1},OFFSET($B$7,MATCH(B83,$B$7:$B$14)-2,,4)-B83 )))^-{0;1;2;3}*MMULT({0,2,0,0;-1,0,1,0;2,-5,4,-1;-1,3,-3,1},OFFSET($C$7,MATCH(B83,$B$7:$B$14)-2,,4)))/2</f>
        <v>1.523999872644773</v>
      </c>
      <c r="K83" s="7"/>
    </row>
    <row r="84" spans="1:11" x14ac:dyDescent="0.2">
      <c r="A84" s="198"/>
      <c r="B84" s="209">
        <v>100</v>
      </c>
      <c r="C84" s="229" t="e">
        <f ca="1"/>
        <v>#NAME?</v>
      </c>
      <c r="D84" s="226">
        <f t="shared" si="0"/>
        <v>1.5</v>
      </c>
      <c r="E84" s="203"/>
      <c r="F84" s="234" t="e">
        <f ca="1"/>
        <v>#NAME?</v>
      </c>
      <c r="G84" s="229" t="e">
        <f ca="1"/>
        <v>#NAME?</v>
      </c>
      <c r="H84" s="225">
        <v>1.4664545107372842</v>
      </c>
      <c r="I84" s="229"/>
      <c r="J84" s="226"/>
      <c r="K84" s="7"/>
    </row>
  </sheetData>
  <hyperlinks>
    <hyperlink ref="A33" r:id="rId1" location="more-3322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44"/>
  <sheetViews>
    <sheetView topLeftCell="A26" workbookViewId="0">
      <selection activeCell="D44" sqref="D44"/>
    </sheetView>
  </sheetViews>
  <sheetFormatPr defaultRowHeight="12.75" x14ac:dyDescent="0.2"/>
  <cols>
    <col min="2" max="2" width="10.140625" bestFit="1" customWidth="1"/>
    <col min="4" max="4" width="10.140625" bestFit="1" customWidth="1"/>
  </cols>
  <sheetData>
    <row r="1" spans="1:10" ht="15.75" x14ac:dyDescent="0.25">
      <c r="A1" s="32" t="s">
        <v>32</v>
      </c>
      <c r="B1" s="33"/>
      <c r="C1" s="33"/>
      <c r="D1" s="33"/>
      <c r="E1" s="33"/>
    </row>
    <row r="2" spans="1:10" ht="15.75" x14ac:dyDescent="0.25">
      <c r="A2" s="32" t="s">
        <v>33</v>
      </c>
      <c r="B2" s="33"/>
      <c r="C2" s="33"/>
      <c r="D2" s="33"/>
      <c r="E2" s="33"/>
    </row>
    <row r="3" spans="1:10" ht="15.75" x14ac:dyDescent="0.25">
      <c r="A3" s="32" t="s">
        <v>34</v>
      </c>
      <c r="B3" s="33"/>
      <c r="C3" s="33"/>
      <c r="D3" s="33"/>
      <c r="E3" s="33"/>
    </row>
    <row r="4" spans="1:10" ht="15.75" x14ac:dyDescent="0.25">
      <c r="A4" s="32" t="s">
        <v>35</v>
      </c>
      <c r="B4" s="33"/>
      <c r="C4" s="33"/>
      <c r="D4" s="33"/>
      <c r="E4" s="33"/>
    </row>
    <row r="5" spans="1:10" ht="15.75" x14ac:dyDescent="0.25">
      <c r="A5" s="32" t="s">
        <v>36</v>
      </c>
      <c r="B5" s="33"/>
      <c r="C5" s="33"/>
      <c r="D5" s="33"/>
      <c r="E5" s="33"/>
      <c r="J5" s="7"/>
    </row>
    <row r="6" spans="1:10" ht="15.75" x14ac:dyDescent="0.25">
      <c r="A6" s="32"/>
      <c r="B6" s="33"/>
      <c r="C6" s="33"/>
      <c r="D6" s="33"/>
      <c r="E6" s="33"/>
      <c r="J6" s="7"/>
    </row>
    <row r="7" spans="1:10" ht="15.75" x14ac:dyDescent="0.25">
      <c r="A7" s="32" t="s">
        <v>37</v>
      </c>
      <c r="B7" s="33"/>
      <c r="C7" s="33"/>
      <c r="D7" s="33"/>
      <c r="E7" s="33"/>
      <c r="J7" s="7"/>
    </row>
    <row r="8" spans="1:10" ht="15.75" x14ac:dyDescent="0.25">
      <c r="A8" s="32" t="s">
        <v>38</v>
      </c>
      <c r="B8" s="33"/>
      <c r="C8" s="33"/>
      <c r="D8" s="33"/>
      <c r="E8" s="33"/>
      <c r="J8" s="7"/>
    </row>
    <row r="9" spans="1:10" ht="15.75" x14ac:dyDescent="0.25">
      <c r="A9" s="32" t="s">
        <v>39</v>
      </c>
      <c r="B9" s="33"/>
      <c r="C9" s="33"/>
      <c r="D9" s="33"/>
      <c r="E9" s="33"/>
      <c r="J9" s="7"/>
    </row>
    <row r="10" spans="1:10" ht="15.75" x14ac:dyDescent="0.25">
      <c r="A10" s="32" t="s">
        <v>40</v>
      </c>
      <c r="B10" s="33"/>
      <c r="C10" s="33"/>
      <c r="D10" s="33"/>
      <c r="E10" s="33"/>
      <c r="J10" s="7"/>
    </row>
    <row r="11" spans="1:10" ht="15.75" x14ac:dyDescent="0.25">
      <c r="A11" s="32"/>
      <c r="B11" s="33"/>
      <c r="C11" s="33"/>
      <c r="D11" s="33"/>
      <c r="E11" s="33"/>
      <c r="J11" s="7"/>
    </row>
    <row r="12" spans="1:10" ht="15.75" x14ac:dyDescent="0.25">
      <c r="A12" s="32" t="s">
        <v>41</v>
      </c>
      <c r="B12" s="33"/>
      <c r="C12" s="33"/>
      <c r="D12" s="33"/>
      <c r="E12" s="33"/>
      <c r="J12" s="7"/>
    </row>
    <row r="13" spans="1:10" ht="15.75" x14ac:dyDescent="0.25">
      <c r="A13" s="34" t="s">
        <v>42</v>
      </c>
      <c r="B13" s="33"/>
      <c r="C13" s="33"/>
      <c r="D13" s="33"/>
      <c r="E13" s="33"/>
      <c r="J13" s="7"/>
    </row>
    <row r="14" spans="1:10" ht="15.75" x14ac:dyDescent="0.25">
      <c r="A14" s="32" t="s">
        <v>43</v>
      </c>
      <c r="B14" s="33"/>
      <c r="C14" s="33"/>
      <c r="D14" s="33"/>
      <c r="E14" s="33"/>
      <c r="J14" s="7"/>
    </row>
    <row r="15" spans="1:10" ht="15.75" x14ac:dyDescent="0.25">
      <c r="A15" s="32"/>
      <c r="B15" s="33"/>
      <c r="C15" s="33"/>
      <c r="D15" s="33"/>
      <c r="E15" s="33"/>
    </row>
    <row r="16" spans="1:10" ht="15" x14ac:dyDescent="0.2">
      <c r="A16" s="35" t="s">
        <v>44</v>
      </c>
      <c r="B16" s="35"/>
      <c r="C16" s="35"/>
      <c r="D16" s="35"/>
      <c r="E16" s="35"/>
    </row>
    <row r="17" spans="1:29" ht="15" x14ac:dyDescent="0.2">
      <c r="A17" s="36" t="s">
        <v>45</v>
      </c>
      <c r="B17" s="33"/>
      <c r="C17" s="33"/>
      <c r="D17" s="33"/>
      <c r="E17" s="33"/>
    </row>
    <row r="18" spans="1:29" ht="15" x14ac:dyDescent="0.2">
      <c r="A18" s="36" t="s">
        <v>46</v>
      </c>
      <c r="B18" s="33"/>
      <c r="C18" s="33"/>
      <c r="D18" s="33"/>
      <c r="E18" s="37"/>
    </row>
    <row r="19" spans="1:29" ht="15" x14ac:dyDescent="0.2">
      <c r="A19" s="36" t="s">
        <v>56</v>
      </c>
      <c r="B19" s="37"/>
      <c r="C19" s="37"/>
      <c r="D19" s="38"/>
      <c r="E19" s="37"/>
    </row>
    <row r="20" spans="1:29" ht="18" x14ac:dyDescent="0.25">
      <c r="A20" s="39" t="s">
        <v>47</v>
      </c>
      <c r="B20" s="40" t="s">
        <v>315</v>
      </c>
      <c r="C20" s="33"/>
      <c r="D20" s="33"/>
      <c r="E20" s="33"/>
    </row>
    <row r="21" spans="1:29" ht="15.75" x14ac:dyDescent="0.25">
      <c r="A21" s="41"/>
      <c r="B21" s="33"/>
      <c r="C21" s="33"/>
      <c r="D21" s="33"/>
      <c r="E21" s="33"/>
    </row>
    <row r="22" spans="1:29" ht="15" x14ac:dyDescent="0.2">
      <c r="A22" s="37"/>
      <c r="B22" s="37"/>
      <c r="C22" s="37"/>
      <c r="D22" s="37"/>
      <c r="E22" s="37"/>
    </row>
    <row r="23" spans="1:29" ht="15.75" x14ac:dyDescent="0.25">
      <c r="A23" s="42" t="s">
        <v>48</v>
      </c>
      <c r="B23" s="43"/>
      <c r="C23" s="43"/>
      <c r="D23" s="43"/>
      <c r="E23" s="33"/>
      <c r="V23" s="3"/>
      <c r="W23" s="3"/>
      <c r="X23" s="3"/>
      <c r="Y23" s="3"/>
      <c r="Z23" s="3"/>
      <c r="AA23" s="3"/>
      <c r="AB23" s="3"/>
      <c r="AC23" s="3"/>
    </row>
    <row r="24" spans="1:29" ht="15.75" x14ac:dyDescent="0.25">
      <c r="A24" s="42"/>
      <c r="B24" s="43"/>
      <c r="C24" s="42"/>
      <c r="D24" s="43"/>
      <c r="E24" s="33"/>
      <c r="Y24" s="3"/>
    </row>
    <row r="25" spans="1:29" ht="15.75" x14ac:dyDescent="0.25">
      <c r="A25" s="42" t="s">
        <v>49</v>
      </c>
      <c r="B25" s="43"/>
      <c r="C25" s="44">
        <v>1.1399999999999999</v>
      </c>
      <c r="D25" s="45">
        <v>42368</v>
      </c>
      <c r="E25" s="33"/>
      <c r="Y25" s="3"/>
    </row>
    <row r="26" spans="1:29" ht="15.75" x14ac:dyDescent="0.25">
      <c r="A26" s="43"/>
      <c r="B26" s="43"/>
      <c r="C26" s="43"/>
      <c r="D26" s="43"/>
      <c r="E26" s="33"/>
      <c r="Y26" s="3"/>
    </row>
    <row r="27" spans="1:29" ht="15.75" x14ac:dyDescent="0.25">
      <c r="A27" s="42" t="s">
        <v>50</v>
      </c>
      <c r="B27" s="42" t="s">
        <v>51</v>
      </c>
      <c r="C27" s="42" t="s">
        <v>52</v>
      </c>
      <c r="D27" s="42" t="s">
        <v>53</v>
      </c>
      <c r="E27" s="33"/>
      <c r="Y27" s="3"/>
    </row>
    <row r="28" spans="1:29" ht="15.75" x14ac:dyDescent="0.25">
      <c r="A28" s="43"/>
      <c r="B28" s="43"/>
      <c r="C28" s="43"/>
      <c r="D28" s="43"/>
      <c r="E28" s="33"/>
      <c r="Y28" s="3"/>
    </row>
    <row r="29" spans="1:29" ht="15.75" x14ac:dyDescent="0.25">
      <c r="A29" s="44">
        <v>1</v>
      </c>
      <c r="B29" s="45">
        <v>39996</v>
      </c>
      <c r="C29" s="42" t="s">
        <v>54</v>
      </c>
      <c r="D29" s="42" t="s">
        <v>55</v>
      </c>
      <c r="E29" s="33"/>
      <c r="Y29" s="3"/>
    </row>
    <row r="30" spans="1:29" ht="15" x14ac:dyDescent="0.25">
      <c r="A30">
        <v>1.01</v>
      </c>
      <c r="B30" s="45">
        <v>40006</v>
      </c>
      <c r="C30" s="3" t="s">
        <v>54</v>
      </c>
      <c r="D30" s="3" t="s">
        <v>126</v>
      </c>
      <c r="Y30" s="3"/>
    </row>
    <row r="31" spans="1:29" ht="15" x14ac:dyDescent="0.25">
      <c r="A31">
        <v>1.02</v>
      </c>
      <c r="B31" s="45">
        <v>40163</v>
      </c>
      <c r="C31" s="45" t="s">
        <v>54</v>
      </c>
      <c r="D31" s="45" t="s">
        <v>160</v>
      </c>
      <c r="Y31" s="3"/>
    </row>
    <row r="32" spans="1:29" ht="15" x14ac:dyDescent="0.25">
      <c r="A32">
        <v>1.03</v>
      </c>
      <c r="B32" s="45">
        <v>40301</v>
      </c>
      <c r="C32" s="45" t="s">
        <v>54</v>
      </c>
      <c r="D32" s="3" t="s">
        <v>197</v>
      </c>
      <c r="Y32" s="3"/>
    </row>
    <row r="33" spans="1:25" ht="15" x14ac:dyDescent="0.25">
      <c r="A33">
        <v>1.04</v>
      </c>
      <c r="B33" s="45">
        <v>40306</v>
      </c>
      <c r="C33" s="45" t="s">
        <v>54</v>
      </c>
      <c r="D33" s="3" t="s">
        <v>210</v>
      </c>
      <c r="Y33" s="3"/>
    </row>
    <row r="34" spans="1:25" ht="15" x14ac:dyDescent="0.25">
      <c r="A34">
        <v>1.05</v>
      </c>
      <c r="B34" s="45">
        <v>40312</v>
      </c>
      <c r="C34" s="45" t="s">
        <v>54</v>
      </c>
      <c r="D34" s="3" t="s">
        <v>240</v>
      </c>
      <c r="Y34" s="3"/>
    </row>
    <row r="35" spans="1:25" ht="15" x14ac:dyDescent="0.25">
      <c r="A35">
        <v>1.06</v>
      </c>
      <c r="B35" s="45">
        <v>40359</v>
      </c>
      <c r="C35" s="45" t="s">
        <v>54</v>
      </c>
      <c r="D35" s="3" t="s">
        <v>243</v>
      </c>
    </row>
    <row r="36" spans="1:25" ht="15" x14ac:dyDescent="0.25">
      <c r="A36">
        <v>1.07</v>
      </c>
      <c r="B36" s="45">
        <v>40366</v>
      </c>
      <c r="C36" s="45" t="s">
        <v>54</v>
      </c>
      <c r="D36" s="3" t="s">
        <v>244</v>
      </c>
    </row>
    <row r="37" spans="1:25" ht="15" x14ac:dyDescent="0.25">
      <c r="A37">
        <v>1.08</v>
      </c>
      <c r="B37" s="45">
        <v>40675</v>
      </c>
      <c r="C37" s="45" t="s">
        <v>54</v>
      </c>
      <c r="D37" s="3" t="s">
        <v>245</v>
      </c>
    </row>
    <row r="38" spans="1:25" ht="15" x14ac:dyDescent="0.25">
      <c r="A38">
        <v>1.0900000000000001</v>
      </c>
      <c r="B38" s="45">
        <v>40790</v>
      </c>
      <c r="C38" s="45" t="s">
        <v>54</v>
      </c>
      <c r="D38" s="3" t="s">
        <v>283</v>
      </c>
    </row>
    <row r="39" spans="1:25" ht="15" x14ac:dyDescent="0.25">
      <c r="A39" s="106">
        <v>1.1000000000000001</v>
      </c>
      <c r="B39" s="45">
        <v>41086</v>
      </c>
      <c r="C39" s="45" t="s">
        <v>54</v>
      </c>
      <c r="D39" s="3" t="s">
        <v>293</v>
      </c>
    </row>
    <row r="40" spans="1:25" ht="15" x14ac:dyDescent="0.25">
      <c r="A40">
        <v>1.1100000000000001</v>
      </c>
      <c r="B40" s="45">
        <v>41539</v>
      </c>
      <c r="C40" s="45" t="s">
        <v>54</v>
      </c>
      <c r="D40" s="3" t="s">
        <v>298</v>
      </c>
    </row>
    <row r="41" spans="1:25" ht="15" x14ac:dyDescent="0.25">
      <c r="A41">
        <v>1.1200000000000001</v>
      </c>
      <c r="B41" s="45">
        <v>41683</v>
      </c>
      <c r="C41" s="45" t="s">
        <v>54</v>
      </c>
      <c r="D41" s="3" t="s">
        <v>299</v>
      </c>
    </row>
    <row r="42" spans="1:25" ht="15" x14ac:dyDescent="0.25">
      <c r="A42">
        <v>1.1299999999999999</v>
      </c>
      <c r="B42" s="45">
        <v>42108</v>
      </c>
      <c r="C42" s="45" t="s">
        <v>54</v>
      </c>
      <c r="D42" s="3" t="s">
        <v>314</v>
      </c>
    </row>
    <row r="43" spans="1:25" ht="15" x14ac:dyDescent="0.25">
      <c r="A43">
        <v>1.1399999999999999</v>
      </c>
      <c r="B43" s="45">
        <v>42368</v>
      </c>
      <c r="C43" s="45" t="s">
        <v>54</v>
      </c>
      <c r="D43" s="3" t="s">
        <v>316</v>
      </c>
    </row>
    <row r="44" spans="1:25" ht="15" x14ac:dyDescent="0.25">
      <c r="A44">
        <v>1.1499999999999999</v>
      </c>
      <c r="B44" s="45">
        <v>42428</v>
      </c>
      <c r="C44" s="45" t="s">
        <v>54</v>
      </c>
      <c r="D44" s="3" t="s">
        <v>319</v>
      </c>
    </row>
  </sheetData>
  <hyperlinks>
    <hyperlink ref="A19" r:id="rId1"/>
    <hyperlink ref="A18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Q1</vt:lpstr>
      <vt:lpstr>Q2</vt:lpstr>
      <vt:lpstr>CSpline</vt:lpstr>
      <vt:lpstr>SolveSpline</vt:lpstr>
      <vt:lpstr>CHSpline</vt:lpstr>
      <vt:lpstr>CardSpline</vt:lpstr>
      <vt:lpstr>Procedure</vt:lpstr>
      <vt:lpstr>Area</vt:lpstr>
      <vt:lpstr>On-Sheet</vt:lpstr>
      <vt:lpstr>About</vt:lpstr>
      <vt:lpstr>wave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SRS1 Cubic Spline for Excel</dc:title>
  <dc:creator>SRS1 Software</dc:creator>
  <dc:description>This is a vba implementation of a cubic_spline function.</dc:description>
  <cp:lastModifiedBy>Ryan Tully-Doyle</cp:lastModifiedBy>
  <cp:revision>1</cp:revision>
  <dcterms:created xsi:type="dcterms:W3CDTF">2001-03-31T08:29:09Z</dcterms:created>
  <dcterms:modified xsi:type="dcterms:W3CDTF">2017-10-06T17:43:00Z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1.01</vt:lpwstr>
  </property>
</Properties>
</file>